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Jobaaj Files\Excel\Excel_projects\Reading Tracker\"/>
    </mc:Choice>
  </mc:AlternateContent>
  <xr:revisionPtr revIDLastSave="0" documentId="13_ncr:1_{5301FE1C-29B1-4B0F-83E1-90164B4F5A8A}" xr6:coauthVersionLast="47" xr6:coauthVersionMax="47" xr10:uidLastSave="{00000000-0000-0000-0000-000000000000}"/>
  <bookViews>
    <workbookView xWindow="25974" yWindow="-109" windowWidth="26301" windowHeight="14169" activeTab="3" xr2:uid="{00000000-000D-0000-FFFF-FFFF00000000}"/>
  </bookViews>
  <sheets>
    <sheet name="Instructions Page" sheetId="9" r:id="rId1"/>
    <sheet name="Book_database" sheetId="6" r:id="rId2"/>
    <sheet name="Pivot_tb_sheet" sheetId="3" r:id="rId3"/>
    <sheet name="Dashboard" sheetId="4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4" l="1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27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A2" i="6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C52" i="4"/>
  <c r="D52" i="4"/>
  <c r="J52" i="4"/>
  <c r="F6" i="4"/>
  <c r="E6" i="4"/>
  <c r="D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3" i="4"/>
  <c r="J54" i="4"/>
  <c r="J55" i="4"/>
  <c r="J56" i="4"/>
  <c r="J57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3" i="4"/>
  <c r="D54" i="4"/>
  <c r="D55" i="4"/>
  <c r="D56" i="4"/>
  <c r="D57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3" i="4"/>
  <c r="C54" i="4"/>
  <c r="C55" i="4"/>
  <c r="C56" i="4"/>
  <c r="C57" i="4"/>
  <c r="I27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H13" i="4" l="1"/>
  <c r="S12" i="3"/>
  <c r="S23" i="3"/>
  <c r="S14" i="3"/>
  <c r="S21" i="3"/>
  <c r="S13" i="3"/>
  <c r="S8" i="3"/>
  <c r="S19" i="3"/>
  <c r="S20" i="3"/>
  <c r="S7" i="3"/>
  <c r="S11" i="3"/>
  <c r="S15" i="3"/>
  <c r="S22" i="3"/>
  <c r="S26" i="3"/>
  <c r="S18" i="3"/>
  <c r="S10" i="3"/>
  <c r="S25" i="3"/>
  <c r="S17" i="3"/>
  <c r="S9" i="3"/>
  <c r="S24" i="3"/>
  <c r="S16" i="3"/>
  <c r="I13" i="4" l="1"/>
</calcChain>
</file>

<file path=xl/sharedStrings.xml><?xml version="1.0" encoding="utf-8"?>
<sst xmlns="http://schemas.openxmlformats.org/spreadsheetml/2006/main" count="576" uniqueCount="273">
  <si>
    <t>Author</t>
  </si>
  <si>
    <t>Where the Wild Things Are</t>
  </si>
  <si>
    <t>Maurice Sendak</t>
  </si>
  <si>
    <t>The Giving Tree</t>
  </si>
  <si>
    <t>Shel Silverstein</t>
  </si>
  <si>
    <t>Mere Christianity</t>
  </si>
  <si>
    <t>Homo Deus: A Brief History of Tomorrow</t>
  </si>
  <si>
    <t>Yuval Noah Harari</t>
  </si>
  <si>
    <t>Divergent</t>
  </si>
  <si>
    <t>Veronica Roth</t>
  </si>
  <si>
    <t>Agatha Christie</t>
  </si>
  <si>
    <t>And Then There Were None</t>
  </si>
  <si>
    <t>Harper Lee</t>
  </si>
  <si>
    <t>Charlotte's Web</t>
  </si>
  <si>
    <t>Jane Austen</t>
  </si>
  <si>
    <t>Sapiens: A Brief History of Humankind</t>
  </si>
  <si>
    <t>John Green</t>
  </si>
  <si>
    <t>The Fault in Our Stars</t>
  </si>
  <si>
    <t>J.K. Rowling</t>
  </si>
  <si>
    <t>Sharp Objects</t>
  </si>
  <si>
    <t>Gillian Flynn</t>
  </si>
  <si>
    <t>Cheryl Strayed</t>
  </si>
  <si>
    <t>Dr. Seuss</t>
  </si>
  <si>
    <t>Stieg Larsson</t>
  </si>
  <si>
    <t>Rick Warren</t>
  </si>
  <si>
    <t>The Catcher in the Rye</t>
  </si>
  <si>
    <t>J.R.R. Tolkien</t>
  </si>
  <si>
    <t>Neil Gaiman</t>
  </si>
  <si>
    <t>Kurt Vonnegut</t>
  </si>
  <si>
    <t>Bill Bryson</t>
  </si>
  <si>
    <t>Neil deGrasse Tyson</t>
  </si>
  <si>
    <t>The Very Hungry Caterpillar</t>
  </si>
  <si>
    <t>Eric Carle</t>
  </si>
  <si>
    <t>The Cat in the Hat</t>
  </si>
  <si>
    <t>Jojo Moyes</t>
  </si>
  <si>
    <t>Trevor Noah</t>
  </si>
  <si>
    <t>Tara Westover</t>
  </si>
  <si>
    <t>Brené Brown</t>
  </si>
  <si>
    <t>The Hunger Games</t>
  </si>
  <si>
    <t>Suzanne Collins</t>
  </si>
  <si>
    <t>Eckhart Tolle</t>
  </si>
  <si>
    <t>Dale Carnegie</t>
  </si>
  <si>
    <t>Oh, the Places You'll Go!</t>
  </si>
  <si>
    <t>A Brief History of Time</t>
  </si>
  <si>
    <t>Stephen Hawking</t>
  </si>
  <si>
    <t>Chris Van Allsburg</t>
  </si>
  <si>
    <t>Goodnight Moon</t>
  </si>
  <si>
    <t>Margaret Wise Brown</t>
  </si>
  <si>
    <t>Jeannette Walls</t>
  </si>
  <si>
    <t>Tana French</t>
  </si>
  <si>
    <t>Charles Duhigg</t>
  </si>
  <si>
    <t>Anthony William</t>
  </si>
  <si>
    <t>Nicholas Sparks</t>
  </si>
  <si>
    <t>Colleen Hoover</t>
  </si>
  <si>
    <t>Simon Sinek</t>
  </si>
  <si>
    <t>Elizabeth Gilbert</t>
  </si>
  <si>
    <t>The New Jim Crow: Mass Incarceration in the Age of Colorblindness</t>
  </si>
  <si>
    <t>Michelle Alexander</t>
  </si>
  <si>
    <t>Don Miguel Ruiz</t>
  </si>
  <si>
    <t>Health</t>
  </si>
  <si>
    <t>Arts &amp; Photography</t>
  </si>
  <si>
    <t>Humor &amp; Entertainment</t>
  </si>
  <si>
    <t>Children's Books</t>
  </si>
  <si>
    <t>Mystery</t>
  </si>
  <si>
    <t>Literature &amp; Fiction</t>
  </si>
  <si>
    <t>Politics &amp; Social Sciences</t>
  </si>
  <si>
    <t>Cookbooks</t>
  </si>
  <si>
    <t>Travel</t>
  </si>
  <si>
    <t>Science &amp; Math</t>
  </si>
  <si>
    <t>Christian Books &amp; Bibles</t>
  </si>
  <si>
    <t>Science Fiction &amp; Fantasy</t>
  </si>
  <si>
    <t>Teen &amp; Young Adult</t>
  </si>
  <si>
    <t>Romance</t>
  </si>
  <si>
    <t>Biographies &amp; Memoirs</t>
  </si>
  <si>
    <t>Comics &amp; Graphic Novels</t>
  </si>
  <si>
    <t>Religion &amp; Spirituality</t>
  </si>
  <si>
    <t>History</t>
  </si>
  <si>
    <t>Self-Help</t>
  </si>
  <si>
    <t>Business &amp; Money</t>
  </si>
  <si>
    <t>TITLE</t>
  </si>
  <si>
    <t>AUTHOR</t>
  </si>
  <si>
    <t>Rating</t>
  </si>
  <si>
    <t>READING STATUS</t>
  </si>
  <si>
    <t>Reading Status</t>
  </si>
  <si>
    <t>Completed</t>
  </si>
  <si>
    <t>In Progress</t>
  </si>
  <si>
    <t>COMPLETION DATE</t>
  </si>
  <si>
    <t>Not yet started</t>
  </si>
  <si>
    <t>Pride and Prejudice</t>
  </si>
  <si>
    <t>Slaughterhouse-Five</t>
  </si>
  <si>
    <t>The Chronicles of Narnia</t>
  </si>
  <si>
    <t>The Girl with the Dragon Tattoo</t>
  </si>
  <si>
    <t>Count of books</t>
  </si>
  <si>
    <t>Month name</t>
  </si>
  <si>
    <t>Month number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</si>
  <si>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</si>
  <si>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</si>
  <si>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</si>
  <si>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</si>
  <si>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</si>
  <si>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</si>
  <si>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</si>
  <si>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</si>
  <si>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</si>
  <si>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</si>
  <si>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</si>
  <si>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</si>
  <si>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</si>
  <si>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C.S. Lewis</t>
  </si>
  <si>
    <t>E.B. White</t>
  </si>
  <si>
    <t>Roald Dahl</t>
  </si>
  <si>
    <t>Antoine de Saint-Exupéry</t>
  </si>
  <si>
    <t>Book Title</t>
  </si>
  <si>
    <t>Michael Greger</t>
  </si>
  <si>
    <t>Michael Pollan</t>
  </si>
  <si>
    <t>T. Colin Campbell</t>
  </si>
  <si>
    <t>Joe Dispenza</t>
  </si>
  <si>
    <t>Melissa Hartwig and Dallas Hartwig</t>
  </si>
  <si>
    <t>Lissa Rankin</t>
  </si>
  <si>
    <t>Bessel van der Kolk</t>
  </si>
  <si>
    <t>E.H. Gombrich</t>
  </si>
  <si>
    <t>Julia Cameron</t>
  </si>
  <si>
    <t>Austin Kleon</t>
  </si>
  <si>
    <t>John Berger</t>
  </si>
  <si>
    <t>Douglas Adams</t>
  </si>
  <si>
    <t>Tina Fey</t>
  </si>
  <si>
    <t>Category</t>
  </si>
  <si>
    <t>Arthur Conan Doyle</t>
  </si>
  <si>
    <t>Raymond Chandler</t>
  </si>
  <si>
    <t>Julia Child</t>
  </si>
  <si>
    <t>Yotam Ottolenghi</t>
  </si>
  <si>
    <t>J.D. Salinger</t>
  </si>
  <si>
    <t>To Kill a Mockingbird</t>
  </si>
  <si>
    <t>Richard Dawkins</t>
  </si>
  <si>
    <t>The Selfish Gene</t>
  </si>
  <si>
    <t>Astrophysics for People...</t>
  </si>
  <si>
    <t>Timothy Keller</t>
  </si>
  <si>
    <t>The Reason for God</t>
  </si>
  <si>
    <t>Max Lucado</t>
  </si>
  <si>
    <t>The 3:16 Promise</t>
  </si>
  <si>
    <t>The Lord of the Rings</t>
  </si>
  <si>
    <t>George R.R. Martin</t>
  </si>
  <si>
    <t>A Game of Thrones</t>
  </si>
  <si>
    <t>Ursula K. Le Guin</t>
  </si>
  <si>
    <t>A Wizard of Earthsea</t>
  </si>
  <si>
    <t>Michelle Obama</t>
  </si>
  <si>
    <t>Alan Moore</t>
  </si>
  <si>
    <t>The Notebook</t>
  </si>
  <si>
    <t>Me Before You</t>
  </si>
  <si>
    <t>It Ends with Us</t>
  </si>
  <si>
    <t>Becoming</t>
  </si>
  <si>
    <t>Educated</t>
  </si>
  <si>
    <t>The Glass Castle</t>
  </si>
  <si>
    <t>Wild</t>
  </si>
  <si>
    <t>Nelson Mandela</t>
  </si>
  <si>
    <t>Long Walk to Freedom</t>
  </si>
  <si>
    <t>Watchmen</t>
  </si>
  <si>
    <t>Art Spiegelman</t>
  </si>
  <si>
    <t>Maus</t>
  </si>
  <si>
    <t>Brian K. Vaughan</t>
  </si>
  <si>
    <t>Saga</t>
  </si>
  <si>
    <t>Marjane Satrapi</t>
  </si>
  <si>
    <t>Persepolis</t>
  </si>
  <si>
    <t>Sandman</t>
  </si>
  <si>
    <t>The Power of Now</t>
  </si>
  <si>
    <t>The Purpose Driven Life</t>
  </si>
  <si>
    <t>Dalai Lama</t>
  </si>
  <si>
    <t>The Art of Happiness</t>
  </si>
  <si>
    <t>Eat, Pray, Love</t>
  </si>
  <si>
    <t>Sapiens</t>
  </si>
  <si>
    <t>David McCullough</t>
  </si>
  <si>
    <t>Erik Larson</t>
  </si>
  <si>
    <t>The Devil in the White City</t>
  </si>
  <si>
    <t>Doris Kearns Goodwin</t>
  </si>
  <si>
    <t>Team of Rivals</t>
  </si>
  <si>
    <t>Antony Beevor</t>
  </si>
  <si>
    <t>Stalingrad</t>
  </si>
  <si>
    <t>Peter Drucker</t>
  </si>
  <si>
    <t>Daniel Kahneman</t>
  </si>
  <si>
    <t>Ray Dalio</t>
  </si>
  <si>
    <t>Paula Hawkins</t>
  </si>
  <si>
    <t>The Story of Art</t>
  </si>
  <si>
    <t>The Artist's Way</t>
  </si>
  <si>
    <t>Steal Like an Artist</t>
  </si>
  <si>
    <t>Ways of Seeing</t>
  </si>
  <si>
    <t>The Effective Executive</t>
  </si>
  <si>
    <t>How to Win Friends and Influence People</t>
  </si>
  <si>
    <t>Start with Why</t>
  </si>
  <si>
    <t>Thinking, Fast and Slow</t>
  </si>
  <si>
    <t>Principles: Life and Work</t>
  </si>
  <si>
    <t>Harry Potter and the Sorcerer's Stone</t>
  </si>
  <si>
    <t>Matilda</t>
  </si>
  <si>
    <t>The Lion, the Witch, and the Wardrobe</t>
  </si>
  <si>
    <t>Green Eggs and Ham</t>
  </si>
  <si>
    <t>The BFG</t>
  </si>
  <si>
    <t>The Polar Express</t>
  </si>
  <si>
    <t>The Little Prince</t>
  </si>
  <si>
    <t>Mastering the Art of French Cooking</t>
  </si>
  <si>
    <t>The Way to Cook</t>
  </si>
  <si>
    <t>Julia's Kitchen Wisdom</t>
  </si>
  <si>
    <t>Plenty: Vibrant Vegetable Recipes from London's Ottolenghi</t>
  </si>
  <si>
    <t>Jerusalem: A Cookbook</t>
  </si>
  <si>
    <t>Simple: A Cookbook</t>
  </si>
  <si>
    <t>How Not to Die</t>
  </si>
  <si>
    <t>The Four Agreements</t>
  </si>
  <si>
    <t>In Defense of Food</t>
  </si>
  <si>
    <t>The China Study</t>
  </si>
  <si>
    <t>Becoming Supernatural</t>
  </si>
  <si>
    <t>The Whole30</t>
  </si>
  <si>
    <t>Mind Over Medicine</t>
  </si>
  <si>
    <t>The Body Keeps the Score</t>
  </si>
  <si>
    <t>Medical Medium</t>
  </si>
  <si>
    <t>The Hitchhiker's Guide to the Galaxy</t>
  </si>
  <si>
    <t>Bossypants</t>
  </si>
  <si>
    <t>Born a Crime</t>
  </si>
  <si>
    <t>Murder on the Orient Express</t>
  </si>
  <si>
    <t>The Murder of Roger Ackroyd</t>
  </si>
  <si>
    <t>The Adventures of Sherlock Holmes</t>
  </si>
  <si>
    <t>The Hound of the Baskervilles</t>
  </si>
  <si>
    <t>A Study in Scarlet</t>
  </si>
  <si>
    <t>The Big Sleep</t>
  </si>
  <si>
    <t>Farewell, My Lovely</t>
  </si>
  <si>
    <t>The Long Goodbye</t>
  </si>
  <si>
    <t>Gone Girl</t>
  </si>
  <si>
    <t>Dark Places</t>
  </si>
  <si>
    <t>In the Woods</t>
  </si>
  <si>
    <t>The Likeness</t>
  </si>
  <si>
    <t>Faithful Place</t>
  </si>
  <si>
    <t>The Girl Who Played with Fire</t>
  </si>
  <si>
    <t>The Girl Who Kicked the Hornets' Nest</t>
  </si>
  <si>
    <t>The Girl on the Train</t>
  </si>
  <si>
    <t>Into the Water</t>
  </si>
  <si>
    <t>A Slow Fire Burning</t>
  </si>
  <si>
    <t>21 Lessons for the 21st Century</t>
  </si>
  <si>
    <t>The New Jim Crow: Study Guide and Call to Action</t>
  </si>
  <si>
    <t>The Gifts of Imperfection</t>
  </si>
  <si>
    <t>The Power of Habit</t>
  </si>
  <si>
    <t>Notes from a Small Island</t>
  </si>
  <si>
    <t>A Walk in the Woods</t>
  </si>
  <si>
    <t>Price</t>
  </si>
  <si>
    <t>Book_ID</t>
  </si>
  <si>
    <t>Total money spent</t>
  </si>
  <si>
    <t>Grand Total</t>
  </si>
  <si>
    <t>Category with the most time spent</t>
  </si>
  <si>
    <t>Select Month</t>
  </si>
  <si>
    <t>Sum of Price</t>
  </si>
  <si>
    <t>NA</t>
  </si>
  <si>
    <t>Month_name</t>
  </si>
  <si>
    <t>Count of COMPLETION DATE</t>
  </si>
  <si>
    <t>Jan Total</t>
  </si>
  <si>
    <t>Feb Total</t>
  </si>
  <si>
    <t>Mar Total</t>
  </si>
  <si>
    <t>Apr Total</t>
  </si>
  <si>
    <t>May Total</t>
  </si>
  <si>
    <t>Jun Total</t>
  </si>
  <si>
    <t>NA Total</t>
  </si>
  <si>
    <t>Jul Total</t>
  </si>
  <si>
    <t>Aug Total</t>
  </si>
  <si>
    <t>Sep Total</t>
  </si>
  <si>
    <t>Oct Total</t>
  </si>
  <si>
    <t>Nov Total</t>
  </si>
  <si>
    <t>Dec Total</t>
  </si>
  <si>
    <t>Monthly reading status</t>
  </si>
  <si>
    <t>Page No.</t>
  </si>
  <si>
    <t>Category/Month</t>
  </si>
  <si>
    <t>Count</t>
  </si>
  <si>
    <t>Total_no_of_books</t>
  </si>
  <si>
    <t>Suggested book</t>
  </si>
  <si>
    <t>Progress bar</t>
  </si>
  <si>
    <r>
      <t xml:space="preserve">Fill in the or update </t>
    </r>
    <r>
      <rPr>
        <i/>
        <sz val="14"/>
        <color theme="1"/>
        <rFont val="JetBrains Mono"/>
        <family val="3"/>
      </rPr>
      <t>book_database.</t>
    </r>
  </si>
  <si>
    <r>
      <t xml:space="preserve">Only update white-colored cells in </t>
    </r>
    <r>
      <rPr>
        <i/>
        <sz val="14"/>
        <color theme="1"/>
        <rFont val="JetBrains Mono"/>
        <family val="3"/>
      </rPr>
      <t xml:space="preserve">Dashboard </t>
    </r>
    <r>
      <rPr>
        <sz val="14"/>
        <color theme="1"/>
        <rFont val="JetBrains Mono"/>
        <family val="3"/>
      </rPr>
      <t>page</t>
    </r>
  </si>
  <si>
    <t xml:space="preserve">Select the month in the Dashboard page and 
identify the total money spent on that month, 
no. of books have been read and most time spent on which category. </t>
  </si>
  <si>
    <r>
      <t xml:space="preserve">Click </t>
    </r>
    <r>
      <rPr>
        <i/>
        <sz val="14"/>
        <color theme="1"/>
        <rFont val="JetBrains Mono"/>
        <family val="3"/>
      </rPr>
      <t>suggest a Book</t>
    </r>
    <r>
      <rPr>
        <sz val="14"/>
        <color theme="1"/>
        <rFont val="JetBrains Mono"/>
        <family val="3"/>
      </rPr>
      <t xml:space="preserve"> button to get a recommendation from the database.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</si>
</sst>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yyyy\-mm\-dd;@"/>
    <numFmt numFmtId="166" formatCode="[$-409]mmmm\ d\,\ yyyy;@"/>
    <numFmt numFmtId="167" formatCode="_ [$₹-4009]\ * #,##0.00_ ;_ [$₹-4009]\ * \-#,##0.00_ ;_ [$₹-4009]\ * &quot;-&quot;??_ ;_ @_ "/>
    <numFmt numFmtId="168" formatCode="0;\-0;;@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JetBrains Mono"/>
      <family val="3"/>
    </font>
    <font>
      <b/>
      <sz val="11"/>
      <color theme="0"/>
      <name val="JetBrains Mono"/>
      <family val="3"/>
    </font>
    <font>
      <b/>
      <sz val="12"/>
      <color theme="0"/>
      <name val="JetBrains Mono"/>
      <family val="3"/>
    </font>
    <font>
      <sz val="12"/>
      <color theme="1"/>
      <name val="JetBrains Mono"/>
      <family val="3"/>
    </font>
    <font>
      <sz val="12"/>
      <name val="JetBrains Mono"/>
      <family val="3"/>
    </font>
    <font>
      <b/>
      <sz val="12"/>
      <name val="JetBrains Mono"/>
      <family val="3"/>
    </font>
    <font>
      <b/>
      <i/>
      <sz val="12"/>
      <color theme="1"/>
      <name val="JetBrains Mono"/>
      <family val="3"/>
    </font>
    <font>
      <b/>
      <sz val="14"/>
      <color theme="1"/>
      <name val="JetBrains Mono"/>
      <family val="3"/>
    </font>
    <font>
      <b/>
      <sz val="16"/>
      <color theme="1"/>
      <name val="JetBrains Mono"/>
      <family val="3"/>
    </font>
    <font>
      <b/>
      <sz val="16"/>
      <color theme="0"/>
      <name val="JetBrains Mono"/>
      <family val="3"/>
    </font>
    <font>
      <b/>
      <sz val="16"/>
      <color theme="9" tint="-0.249977111117893"/>
      <name val="JetBrains Mono"/>
      <family val="3"/>
    </font>
    <font>
      <b/>
      <sz val="11"/>
      <color theme="1"/>
      <name val="JetBrains Mono"/>
      <family val="3"/>
    </font>
    <font>
      <sz val="9.1"/>
      <color theme="1"/>
      <name val="JetBrains Mono"/>
      <family val="3"/>
    </font>
    <font>
      <b/>
      <sz val="9.1"/>
      <color rgb="FFCD4FFF"/>
      <name val="JetBrains Mono"/>
      <family val="3"/>
    </font>
    <font>
      <sz val="14"/>
      <color theme="1"/>
      <name val="JetBrains Mono"/>
      <family val="3"/>
    </font>
    <font>
      <i/>
      <sz val="14"/>
      <color theme="1"/>
      <name val="JetBrains Mono"/>
      <family val="3"/>
    </font>
    <font>
      <i/>
      <sz val="11"/>
      <color rgb="FFFF00FF"/>
      <name val="JetBrains Mono"/>
      <family val="3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E5FF"/>
        <bgColor theme="0" tint="-0.14999847407452621"/>
      </patternFill>
    </fill>
    <fill>
      <patternFill patternType="solid">
        <fgColor rgb="FFFFE5FF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0" xfId="0" applyFont="1" applyFill="1"/>
    <xf numFmtId="0" fontId="5" fillId="0" borderId="0" xfId="0" applyFont="1"/>
    <xf numFmtId="165" fontId="2" fillId="0" borderId="0" xfId="0" applyNumberFormat="1" applyFont="1"/>
    <xf numFmtId="0" fontId="6" fillId="0" borderId="0" xfId="0" applyFont="1"/>
    <xf numFmtId="0" fontId="7" fillId="0" borderId="0" xfId="0" applyFont="1"/>
    <xf numFmtId="164" fontId="6" fillId="0" borderId="0" xfId="0" applyNumberFormat="1" applyFont="1"/>
    <xf numFmtId="167" fontId="6" fillId="0" borderId="0" xfId="0" applyNumberFormat="1" applyFont="1"/>
    <xf numFmtId="0" fontId="11" fillId="2" borderId="0" xfId="0" applyFont="1" applyFill="1" applyAlignment="1">
      <alignment horizontal="center"/>
    </xf>
    <xf numFmtId="0" fontId="2" fillId="0" borderId="0" xfId="0" pivotButton="1" applyFont="1"/>
    <xf numFmtId="0" fontId="2" fillId="4" borderId="0" xfId="0" applyFont="1" applyFill="1"/>
    <xf numFmtId="168" fontId="2" fillId="4" borderId="0" xfId="0" applyNumberFormat="1" applyFont="1" applyFill="1"/>
    <xf numFmtId="0" fontId="5" fillId="4" borderId="0" xfId="0" applyFont="1" applyFill="1"/>
    <xf numFmtId="0" fontId="10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2" fontId="12" fillId="4" borderId="0" xfId="0" applyNumberFormat="1" applyFont="1" applyFill="1" applyAlignment="1">
      <alignment horizontal="center"/>
    </xf>
    <xf numFmtId="2" fontId="10" fillId="4" borderId="0" xfId="0" applyNumberFormat="1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9" fillId="5" borderId="1" xfId="0" applyFont="1" applyFill="1" applyBorder="1" applyAlignment="1">
      <alignment horizontal="center"/>
    </xf>
    <xf numFmtId="2" fontId="6" fillId="0" borderId="0" xfId="0" applyNumberFormat="1" applyFont="1"/>
    <xf numFmtId="0" fontId="7" fillId="0" borderId="0" xfId="0" applyFont="1" applyAlignment="1">
      <alignment horizontal="center"/>
    </xf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8" xfId="0" applyFont="1" applyBorder="1"/>
    <xf numFmtId="0" fontId="5" fillId="3" borderId="8" xfId="0" applyFont="1" applyFill="1" applyBorder="1"/>
    <xf numFmtId="14" fontId="5" fillId="0" borderId="8" xfId="0" applyNumberFormat="1" applyFont="1" applyBorder="1"/>
    <xf numFmtId="0" fontId="5" fillId="4" borderId="8" xfId="0" applyFont="1" applyFill="1" applyBorder="1" applyAlignment="1">
      <alignment horizontal="center"/>
    </xf>
    <xf numFmtId="167" fontId="5" fillId="4" borderId="8" xfId="0" applyNumberFormat="1" applyFont="1" applyFill="1" applyBorder="1"/>
    <xf numFmtId="0" fontId="5" fillId="4" borderId="8" xfId="0" applyFont="1" applyFill="1" applyBorder="1"/>
    <xf numFmtId="0" fontId="5" fillId="0" borderId="8" xfId="0" applyFont="1" applyBorder="1"/>
    <xf numFmtId="0" fontId="14" fillId="0" borderId="0" xfId="0" applyFont="1"/>
    <xf numFmtId="0" fontId="6" fillId="0" borderId="9" xfId="0" applyFont="1" applyBorder="1"/>
    <xf numFmtId="0" fontId="5" fillId="3" borderId="9" xfId="0" applyFont="1" applyFill="1" applyBorder="1"/>
    <xf numFmtId="14" fontId="5" fillId="0" borderId="9" xfId="0" applyNumberFormat="1" applyFont="1" applyBorder="1"/>
    <xf numFmtId="0" fontId="5" fillId="4" borderId="9" xfId="0" applyFont="1" applyFill="1" applyBorder="1" applyAlignment="1">
      <alignment horizontal="center"/>
    </xf>
    <xf numFmtId="167" fontId="5" fillId="4" borderId="9" xfId="0" applyNumberFormat="1" applyFont="1" applyFill="1" applyBorder="1"/>
    <xf numFmtId="0" fontId="5" fillId="4" borderId="9" xfId="0" applyFont="1" applyFill="1" applyBorder="1"/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14" fontId="15" fillId="0" borderId="9" xfId="0" applyNumberFormat="1" applyFont="1" applyBorder="1"/>
    <xf numFmtId="1" fontId="5" fillId="0" borderId="9" xfId="0" applyNumberFormat="1" applyFont="1" applyBorder="1" applyAlignment="1">
      <alignment horizontal="center"/>
    </xf>
    <xf numFmtId="1" fontId="5" fillId="0" borderId="8" xfId="0" applyNumberFormat="1" applyFont="1" applyBorder="1" applyAlignment="1">
      <alignment horizontal="center"/>
    </xf>
    <xf numFmtId="166" fontId="5" fillId="0" borderId="9" xfId="0" applyNumberFormat="1" applyFont="1" applyBorder="1" applyAlignment="1">
      <alignment horizontal="right"/>
    </xf>
    <xf numFmtId="166" fontId="5" fillId="0" borderId="8" xfId="0" applyNumberFormat="1" applyFont="1" applyBorder="1" applyAlignment="1">
      <alignment horizontal="right"/>
    </xf>
    <xf numFmtId="0" fontId="16" fillId="0" borderId="0" xfId="0" applyFont="1"/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</cellXfs>
  <cellStyles count="1"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JetBrains Mono"/>
        <family val="3"/>
        <scheme val="none"/>
      </font>
      <numFmt numFmtId="0" formatCode="General"/>
      <fill>
        <patternFill patternType="solid">
          <fgColor indexed="64"/>
          <bgColor rgb="FFFFE5FF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JetBrains Mono"/>
        <family val="3"/>
        <scheme val="none"/>
      </font>
      <numFmt numFmtId="167" formatCode="_ [$₹-4009]\ * #,##0.00_ ;_ [$₹-4009]\ * \-#,##0.00_ ;_ [$₹-4009]\ * &quot;-&quot;??_ ;_ @_ "/>
      <fill>
        <patternFill patternType="solid">
          <fgColor indexed="64"/>
          <bgColor rgb="FFFFE5FF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JetBrains Mono"/>
        <family val="3"/>
        <scheme val="none"/>
      </font>
      <numFmt numFmtId="0" formatCode="General"/>
      <fill>
        <patternFill patternType="solid">
          <fgColor indexed="64"/>
          <bgColor rgb="FFFFE5FF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JetBrains Mono"/>
        <family val="3"/>
        <scheme val="none"/>
      </font>
      <numFmt numFmtId="166" formatCode="[$-409]mmmm\ d\,\ yyyy;@"/>
      <alignment horizontal="right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JetBrains Mono"/>
        <family val="3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1"/>
        <color rgb="FFCD4FFF"/>
        <name val="JetBrains Mono"/>
        <family val="3"/>
        <scheme val="none"/>
      </font>
      <numFmt numFmtId="19" formatCode="m/d/yyyy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JetBrains Mono"/>
        <family val="3"/>
        <scheme val="none"/>
      </font>
      <numFmt numFmtId="19" formatCode="m/d/yyyy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JetBrains Mono"/>
        <family val="3"/>
        <scheme val="none"/>
      </font>
      <numFmt numFmtId="0" formatCode="General"/>
      <fill>
        <patternFill patternType="solid">
          <fgColor theme="0" tint="-0.14999847407452621"/>
          <bgColor rgb="FFFFE5FF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JetBrains Mono"/>
        <family val="3"/>
        <scheme val="none"/>
      </font>
      <numFmt numFmtId="0" formatCode="General"/>
      <fill>
        <patternFill patternType="solid">
          <fgColor theme="0" tint="-0.14999847407452621"/>
          <bgColor rgb="FFFFE5FF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JetBrains Mono"/>
        <family val="3"/>
        <scheme val="none"/>
      </font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JetBrains Mono"/>
        <family val="3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fgColor rgb="FFFFCDFF"/>
          <bgColor rgb="FFFFAFF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  <numFmt numFmtId="168" formatCode="0;\-0;;@"/>
      <fill>
        <patternFill patternType="solid">
          <fgColor indexed="64"/>
          <bgColor rgb="FFFFE5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  <fill>
        <patternFill patternType="solid">
          <fgColor indexed="64"/>
          <bgColor rgb="FFFFE5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  <fill>
        <patternFill patternType="solid">
          <fgColor indexed="64"/>
          <bgColor rgb="FFFFE5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JetBrains Mono"/>
        <family val="3"/>
        <scheme val="none"/>
      </font>
      <fill>
        <patternFill patternType="solid">
          <fgColor indexed="64"/>
          <bgColor rgb="FF00206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JetBrains Mono"/>
        <family val="3"/>
        <scheme val="none"/>
      </font>
      <fill>
        <patternFill patternType="solid">
          <fgColor indexed="64"/>
          <bgColor rgb="FF00206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JetBrains Mono"/>
        <family val="3"/>
        <scheme val="none"/>
      </font>
      <fill>
        <patternFill patternType="solid">
          <fgColor indexed="64"/>
          <bgColor rgb="FF00206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etBrains Mono"/>
        <family val="3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JetBrains Mono"/>
        <family val="3"/>
        <scheme val="none"/>
      </font>
      <fill>
        <patternFill patternType="solid">
          <fgColor indexed="64"/>
          <bgColor rgb="FF002060"/>
        </patternFill>
      </fill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name val="JetBrain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JetBrains Mono"/>
        <family val="3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JetBrains Mono"/>
        <family val="3"/>
        <scheme val="none"/>
      </font>
      <numFmt numFmtId="167" formatCode="_ [$₹-4009]\ * #,##0.00_ ;_ [$₹-4009]\ * \-#,##0.00_ ;_ [$₹-4009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JetBrains Mono"/>
        <family val="3"/>
        <scheme val="none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JetBrain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JetBrain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JetBrain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JetBrain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JetBrain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JetBrains Mono"/>
        <family val="3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JetBrains Mono"/>
        <family val="3"/>
        <scheme val="none"/>
      </font>
    </dxf>
  </dxfs>
  <tableStyles count="0" defaultTableStyle="TableStyleMedium2" defaultPivotStyle="PivotStyleLight16"/>
  <colors>
    <mruColors>
      <color rgb="FFFFCDFF"/>
      <color rgb="FFCD4FFF"/>
      <color rgb="FFFFAFF9"/>
      <color rgb="FFB3FFC5"/>
      <color rgb="FFFFE5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sz="1400" b="1">
                <a:solidFill>
                  <a:sysClr val="windowText" lastClr="000000"/>
                </a:solidFill>
                <a:latin typeface="JetBrains Mono" panose="02000009000000000000" pitchFamily="49" charset="0"/>
                <a:ea typeface="JetBrains Mono" panose="02000009000000000000" pitchFamily="49" charset="0"/>
                <a:cs typeface="JetBrains Mono" panose="02000009000000000000" pitchFamily="49" charset="0"/>
              </a:rPr>
              <a:t>Category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Pivot_tb_sheet!$S$6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E9DE-4404-8A0B-A04A22F758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9DE-4404-8A0B-A04A22F758A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DE-4404-8A0B-A04A22F758A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9DE-4404-8A0B-A04A22F758A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9DE-4404-8A0B-A04A22F758A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9DE-4404-8A0B-A04A22F758A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9DE-4404-8A0B-A04A22F758A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9DE-4404-8A0B-A04A22F758A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9DE-4404-8A0B-A04A22F758A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9DE-4404-8A0B-A04A22F758A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9DE-4404-8A0B-A04A22F758A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9DE-4404-8A0B-A04A22F758A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9DE-4404-8A0B-A04A22F758A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E9DE-4404-8A0B-A04A22F758A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9DE-4404-8A0B-A04A22F758A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E9DE-4404-8A0B-A04A22F758A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9DE-4404-8A0B-A04A22F758A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9DE-4404-8A0B-A04A22F758A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DE-4404-8A0B-A04A22F758A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DE-4404-8A0B-A04A22F758A1}"/>
              </c:ext>
            </c:extLst>
          </c:dPt>
          <c:dLbls>
            <c:delete val="1"/>
          </c:dLbls>
          <c:cat>
            <c:strRef>
              <c:f>Pivot_tb_sheet!$R$7:$R$26</c:f>
              <c:strCache>
                <c:ptCount val="20"/>
                <c:pt idx="0">
                  <c:v>Arts &amp; Photography</c:v>
                </c:pt>
                <c:pt idx="1">
                  <c:v>Biographies &amp; Memoirs</c:v>
                </c:pt>
                <c:pt idx="2">
                  <c:v>Business &amp; Money</c:v>
                </c:pt>
                <c:pt idx="3">
                  <c:v>Children's Books</c:v>
                </c:pt>
                <c:pt idx="4">
                  <c:v>Christian Books &amp; Bibles</c:v>
                </c:pt>
                <c:pt idx="5">
                  <c:v>Comics &amp; Graphic Novels</c:v>
                </c:pt>
                <c:pt idx="6">
                  <c:v>Cookbooks</c:v>
                </c:pt>
                <c:pt idx="7">
                  <c:v>Health</c:v>
                </c:pt>
                <c:pt idx="8">
                  <c:v>History</c:v>
                </c:pt>
                <c:pt idx="9">
                  <c:v>Humor &amp; Entertainment</c:v>
                </c:pt>
                <c:pt idx="10">
                  <c:v>Literature &amp; Fiction</c:v>
                </c:pt>
                <c:pt idx="11">
                  <c:v>Mystery</c:v>
                </c:pt>
                <c:pt idx="12">
                  <c:v>Politics &amp; Social Sciences</c:v>
                </c:pt>
                <c:pt idx="13">
                  <c:v>Religion &amp; Spirituality</c:v>
                </c:pt>
                <c:pt idx="14">
                  <c:v>Romance</c:v>
                </c:pt>
                <c:pt idx="15">
                  <c:v>Science &amp; Math</c:v>
                </c:pt>
                <c:pt idx="16">
                  <c:v>Science Fiction &amp; Fantasy</c:v>
                </c:pt>
                <c:pt idx="17">
                  <c:v>Self-Help</c:v>
                </c:pt>
                <c:pt idx="18">
                  <c:v>Teen &amp; Young Adult</c:v>
                </c:pt>
                <c:pt idx="19">
                  <c:v>Travel</c:v>
                </c:pt>
              </c:strCache>
            </c:strRef>
          </c:cat>
          <c:val>
            <c:numRef>
              <c:f>Pivot_tb_sheet!$S$7:$S$26</c:f>
              <c:numCache>
                <c:formatCode>0;\-0;;@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DE-4404-8A0B-A04A22F758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chart" Target="../charts/chart1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933683</xdr:colOff>
      <xdr:row>1</xdr:row>
      <xdr:rowOff>182676</xdr:rowOff>
    </xdr:from>
    <xdr:to>
      <xdr:col>3</xdr:col>
      <xdr:colOff>1481714</xdr:colOff>
      <xdr:row>4</xdr:row>
      <xdr:rowOff>46302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11500"/>
                  </a14:imgEffect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9579" y="387554"/>
          <a:ext cx="548031" cy="553738"/>
        </a:xfrm>
        <a:prstGeom prst="rect">
          <a:avLst/>
        </a:prstGeom>
      </xdr:spPr>
    </xdr:pic>
    <xdr:clientData/>
  </xdr:twoCellAnchor>
  <xdr:twoCellAnchor editAs="oneCell">
    <xdr:from>
      <xdr:col>4</xdr:col>
      <xdr:colOff>797942</xdr:colOff>
      <xdr:row>1</xdr:row>
      <xdr:rowOff>161745</xdr:rowOff>
    </xdr:from>
    <xdr:to>
      <xdr:col>4</xdr:col>
      <xdr:colOff>1412574</xdr:colOff>
      <xdr:row>4</xdr:row>
      <xdr:rowOff>86265</xdr:rowOff>
    </xdr:to>
    <xdr:pic>
      <xdr:nvPicPr>
        <xdr:cNvPr id="3" name="Graphic 2" descr="Rupe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18452" y="366623"/>
          <a:ext cx="614632" cy="614632"/>
        </a:xfrm>
        <a:prstGeom prst="rect">
          <a:avLst/>
        </a:prstGeom>
      </xdr:spPr>
    </xdr:pic>
    <xdr:clientData/>
  </xdr:twoCellAnchor>
  <xdr:twoCellAnchor editAs="oneCell">
    <xdr:from>
      <xdr:col>5</xdr:col>
      <xdr:colOff>1811547</xdr:colOff>
      <xdr:row>2</xdr:row>
      <xdr:rowOff>81825</xdr:rowOff>
    </xdr:from>
    <xdr:to>
      <xdr:col>5</xdr:col>
      <xdr:colOff>2447746</xdr:colOff>
      <xdr:row>4</xdr:row>
      <xdr:rowOff>232789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bright="-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0681" y="487774"/>
          <a:ext cx="636199" cy="627954"/>
        </a:xfrm>
        <a:prstGeom prst="rect">
          <a:avLst/>
        </a:prstGeom>
      </xdr:spPr>
    </xdr:pic>
    <xdr:clientData/>
  </xdr:twoCellAnchor>
  <xdr:twoCellAnchor>
    <xdr:from>
      <xdr:col>1</xdr:col>
      <xdr:colOff>705336</xdr:colOff>
      <xdr:row>8</xdr:row>
      <xdr:rowOff>132658</xdr:rowOff>
    </xdr:from>
    <xdr:to>
      <xdr:col>2</xdr:col>
      <xdr:colOff>1539704</xdr:colOff>
      <xdr:row>24</xdr:row>
      <xdr:rowOff>44945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1414732</xdr:colOff>
          <xdr:row>10</xdr:row>
          <xdr:rowOff>8626</xdr:rowOff>
        </xdr:from>
        <xdr:to>
          <xdr:col>5</xdr:col>
          <xdr:colOff>3079630</xdr:colOff>
          <xdr:row>12</xdr:row>
          <xdr:rowOff>8626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0" tIns="137160" rIns="182880" bIns="137160" anchor="ctr" upright="1"/>
            <a:lstStyle/>
            <a:p>
              <a:pPr algn="ctr" rtl="0">
                <a:defRPr sz="1000"/>
              </a:pPr>
              <a:r>
                <a:rPr lang="en-IN" sz="1100" b="0" i="1" u="none" strike="noStrike" baseline="0">
                  <a:solidFill>
                    <a:srgbClr val="FF00FF"/>
                  </a:solidFill>
                  <a:latin typeface="JetBrains Mono"/>
                  <a:ea typeface="JetBrains Mono"/>
                  <a:cs typeface="JetBrains Mono"/>
                </a:rPr>
                <a:t>Suggest a book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umesh" refreshedDate="45053.710257870371" createdVersion="8" refreshedVersion="8" minRefreshableVersion="3" recordCount="31" xr:uid="{B18F9E6A-AF39-47A4-A7F9-3A17184997AC}">
  <cacheSource type="worksheet">
    <worksheetSource name="book_reading_tb"/>
  </cacheSource>
  <cacheFields count="9">
    <cacheField name="TITLE" numFmtId="0">
      <sharedItems/>
    </cacheField>
    <cacheField name="AUTHOR" numFmtId="0">
      <sharedItems/>
    </cacheField>
    <cacheField name="Category" numFmtId="0">
      <sharedItems count="13">
        <s v="Literature &amp; Fiction"/>
        <s v="Mystery"/>
        <s v="Romance"/>
        <s v="Arts &amp; Photography"/>
        <s v="Biographies &amp; Memoirs"/>
        <s v="Business &amp; Money"/>
        <s v="Children's Books"/>
        <s v="Teen &amp; Young Adult"/>
        <s v="Science &amp; Math"/>
        <s v="Politics &amp; Social Sciences"/>
        <s v="Travel"/>
        <s v="Humor &amp; Entertainment"/>
        <s v="" u="1"/>
      </sharedItems>
    </cacheField>
    <cacheField name="READING STATUS" numFmtId="14">
      <sharedItems containsBlank="1"/>
    </cacheField>
    <cacheField name="Page No." numFmtId="2">
      <sharedItems containsSemiMixedTypes="0" containsString="0" containsNumber="1" containsInteger="1" minValue="103" maxValue="1374"/>
    </cacheField>
    <cacheField name="COMPLETION DATE" numFmtId="166">
      <sharedItems containsDate="1" containsMixedTypes="1" minDate="2023-01-01T00:00:00" maxDate="2023-12-16T00:00:00"/>
    </cacheField>
    <cacheField name="Month_name" numFmtId="0">
      <sharedItems count="13">
        <s v="Jan"/>
        <s v="NA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Price" numFmtId="167">
      <sharedItems containsSemiMixedTypes="0" containsString="0" containsNumber="1" containsInteger="1" minValue="103" maxValue="1374"/>
    </cacheField>
    <cacheField name="Book_ID" numFmtId="0">
      <sharedItems containsSemiMixedTypes="0" containsString="0" containsNumber="1" containsInteger="1" minValue="2" maxValue="115"/>
    </cacheField>
  </cacheFields>
  <extLst>
    <ext xmlns:x14="http://schemas.microsoft.com/office/spreadsheetml/2009/9/main" uri="{725AE2AE-9491-48be-B2B4-4EB974FC3084}">
      <x14:pivotCacheDefinition pivotCacheId="3628928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The Catcher in the Rye"/>
    <s v="J.D. Salinger"/>
    <x v="0"/>
    <s v="Completed"/>
    <n v="823"/>
    <d v="2023-01-01T00:00:00"/>
    <x v="0"/>
    <n v="823"/>
    <n v="63"/>
  </r>
  <r>
    <s v="The Adventures of Sherlock Holmes"/>
    <s v="Arthur Conan Doyle"/>
    <x v="1"/>
    <s v="Completed"/>
    <n v="469"/>
    <d v="2023-01-09T00:00:00"/>
    <x v="0"/>
    <n v="469"/>
    <n v="68"/>
  </r>
  <r>
    <s v="It Ends with Us"/>
    <s v="Colleen Hoover"/>
    <x v="2"/>
    <s v="Completed"/>
    <n v="215"/>
    <d v="2023-01-15T00:00:00"/>
    <x v="0"/>
    <n v="215"/>
    <n v="99"/>
  </r>
  <r>
    <s v="Pride and Prejudice"/>
    <s v="Jane Austen"/>
    <x v="2"/>
    <s v="Completed"/>
    <n v="382"/>
    <d v="2023-01-17T00:00:00"/>
    <x v="0"/>
    <n v="382"/>
    <n v="97"/>
  </r>
  <r>
    <s v="Steal Like an Artist"/>
    <s v="Austin Kleon"/>
    <x v="3"/>
    <s v="Not yet started"/>
    <n v="212"/>
    <s v="NA"/>
    <x v="1"/>
    <n v="212"/>
    <n v="3"/>
  </r>
  <r>
    <s v="Ways of Seeing"/>
    <s v="John Berger"/>
    <x v="3"/>
    <s v="Completed"/>
    <n v="329"/>
    <d v="2023-02-02T00:00:00"/>
    <x v="2"/>
    <n v="329"/>
    <n v="4"/>
  </r>
  <r>
    <s v="Becoming"/>
    <s v="Michelle Obama"/>
    <x v="4"/>
    <s v="Completed"/>
    <n v="431"/>
    <d v="2023-02-11T00:00:00"/>
    <x v="2"/>
    <n v="431"/>
    <n v="5"/>
  </r>
  <r>
    <s v="Educated"/>
    <s v="Tara Westover"/>
    <x v="4"/>
    <s v="Completed"/>
    <n v="387"/>
    <d v="2023-02-19T00:00:00"/>
    <x v="2"/>
    <n v="387"/>
    <n v="6"/>
  </r>
  <r>
    <s v="The Glass Castle"/>
    <s v="Jeannette Walls"/>
    <x v="4"/>
    <s v="Not yet started"/>
    <n v="699"/>
    <s v="NA"/>
    <x v="1"/>
    <n v="699"/>
    <n v="7"/>
  </r>
  <r>
    <s v="Wild"/>
    <s v="Cheryl Strayed"/>
    <x v="4"/>
    <s v="Completed"/>
    <n v="297"/>
    <d v="2023-03-05T00:00:00"/>
    <x v="3"/>
    <n v="297"/>
    <n v="8"/>
  </r>
  <r>
    <s v="Long Walk to Freedom"/>
    <s v="Nelson Mandela"/>
    <x v="4"/>
    <s v="Completed"/>
    <n v="571"/>
    <d v="2023-03-13T00:00:00"/>
    <x v="3"/>
    <n v="571"/>
    <n v="9"/>
  </r>
  <r>
    <s v="The Effective Executive"/>
    <s v="Peter Drucker"/>
    <x v="5"/>
    <s v="Completed"/>
    <n v="945"/>
    <d v="2023-03-22T00:00:00"/>
    <x v="3"/>
    <n v="945"/>
    <n v="10"/>
  </r>
  <r>
    <s v="How to Win Friends and Influence People"/>
    <s v="Dale Carnegie"/>
    <x v="5"/>
    <s v="Completed"/>
    <n v="179"/>
    <d v="2023-03-30T00:00:00"/>
    <x v="3"/>
    <n v="179"/>
    <n v="11"/>
  </r>
  <r>
    <s v="Start with Why"/>
    <s v="Simon Sinek"/>
    <x v="5"/>
    <s v="In Progress"/>
    <n v="336"/>
    <s v="NA"/>
    <x v="1"/>
    <n v="336"/>
    <n v="12"/>
  </r>
  <r>
    <s v="Principles: Life and Work"/>
    <s v="Ray Dalio"/>
    <x v="5"/>
    <s v="Completed"/>
    <n v="995"/>
    <d v="2023-04-15T00:00:00"/>
    <x v="4"/>
    <n v="995"/>
    <n v="14"/>
  </r>
  <r>
    <s v="Harry Potter and the Sorcerer's Stone"/>
    <s v="J.K. Rowling"/>
    <x v="6"/>
    <s v="Completed"/>
    <n v="1049"/>
    <d v="2023-04-23T00:00:00"/>
    <x v="4"/>
    <n v="1049"/>
    <n v="15"/>
  </r>
  <r>
    <s v="The Chronicles of Narnia"/>
    <s v="C.S. Lewis"/>
    <x v="6"/>
    <s v="Completed"/>
    <n v="850"/>
    <d v="2023-04-30T00:00:00"/>
    <x v="4"/>
    <n v="850"/>
    <n v="16"/>
  </r>
  <r>
    <s v="Matilda"/>
    <s v="Roald Dahl"/>
    <x v="6"/>
    <s v="Completed"/>
    <n v="270"/>
    <d v="2023-05-07T00:00:00"/>
    <x v="5"/>
    <n v="270"/>
    <n v="18"/>
  </r>
  <r>
    <s v="The Giving Tree"/>
    <s v="Shel Silverstein"/>
    <x v="6"/>
    <s v="In Progress"/>
    <n v="469"/>
    <s v="NA"/>
    <x v="1"/>
    <n v="469"/>
    <n v="19"/>
  </r>
  <r>
    <s v="Where the Wild Things Are"/>
    <s v="Maurice Sendak"/>
    <x v="6"/>
    <s v="Not yet started"/>
    <n v="1226"/>
    <s v="NA"/>
    <x v="1"/>
    <n v="1226"/>
    <n v="20"/>
  </r>
  <r>
    <s v="Goodnight Moon"/>
    <s v="Margaret Wise Brown"/>
    <x v="6"/>
    <s v="Not yet started"/>
    <n v="697"/>
    <s v="NA"/>
    <x v="1"/>
    <n v="697"/>
    <n v="21"/>
  </r>
  <r>
    <s v="The Very Hungry Caterpillar"/>
    <s v="Eric Carle"/>
    <x v="6"/>
    <s v="Not yet started"/>
    <n v="328"/>
    <s v="NA"/>
    <x v="1"/>
    <n v="328"/>
    <n v="22"/>
  </r>
  <r>
    <s v="The Fault in Our Stars"/>
    <s v="John Green"/>
    <x v="7"/>
    <s v="Completed"/>
    <n v="238"/>
    <d v="2023-06-10T00:00:00"/>
    <x v="6"/>
    <n v="238"/>
    <n v="111"/>
  </r>
  <r>
    <s v="A Brief History of Time"/>
    <s v="Stephen Hawking"/>
    <x v="8"/>
    <s v="Completed"/>
    <n v="1172"/>
    <d v="2023-07-20T00:00:00"/>
    <x v="7"/>
    <n v="1172"/>
    <n v="100"/>
  </r>
  <r>
    <s v="Murder on the Orient Express"/>
    <s v="Agatha Christie"/>
    <x v="1"/>
    <s v="Completed"/>
    <n v="259"/>
    <d v="2023-08-12T00:00:00"/>
    <x v="8"/>
    <n v="259"/>
    <n v="65"/>
  </r>
  <r>
    <s v="21 Lessons for the 21st Century"/>
    <s v="Yuval Noah Harari"/>
    <x v="9"/>
    <m/>
    <n v="374"/>
    <d v="2023-07-27T00:00:00"/>
    <x v="7"/>
    <n v="374"/>
    <n v="88"/>
  </r>
  <r>
    <s v="The Girl on the Train"/>
    <s v="Paula Hawkins"/>
    <x v="1"/>
    <s v="Completed"/>
    <n v="364"/>
    <d v="2023-09-04T00:00:00"/>
    <x v="9"/>
    <n v="364"/>
    <n v="83"/>
  </r>
  <r>
    <s v="The Notebook"/>
    <s v="Nicholas Sparks"/>
    <x v="2"/>
    <s v="Completed"/>
    <n v="283"/>
    <d v="2023-10-26T00:00:00"/>
    <x v="10"/>
    <n v="283"/>
    <n v="96"/>
  </r>
  <r>
    <s v="A Walk in the Woods"/>
    <s v="Bill Bryson"/>
    <x v="10"/>
    <s v="Completed"/>
    <n v="103"/>
    <d v="2023-11-15T00:00:00"/>
    <x v="11"/>
    <n v="103"/>
    <n v="115"/>
  </r>
  <r>
    <s v="The Hitchhiker's Guide to the Galaxy"/>
    <s v="Douglas Adams"/>
    <x v="11"/>
    <s v="Completed"/>
    <n v="1374"/>
    <d v="2023-12-01T00:00:00"/>
    <x v="12"/>
    <n v="1374"/>
    <n v="60"/>
  </r>
  <r>
    <s v="The Artist's Way"/>
    <s v="Julia Cameron"/>
    <x v="3"/>
    <s v="Completed"/>
    <n v="407"/>
    <d v="2023-12-15T00:00:00"/>
    <x v="12"/>
    <n v="407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03D0A2-F047-48EC-B05A-AC88D0BC3A87}" name="PivotTable1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>
  <location ref="N5:P35" firstHeaderRow="1" firstDataRow="1" firstDataCol="2"/>
  <pivotFields count="9">
    <pivotField compact="0" showAll="0"/>
    <pivotField compact="0" showAll="0"/>
    <pivotField axis="axisRow" compact="0" showAll="0" measureFilter="1">
      <items count="14">
        <item x="3"/>
        <item x="4"/>
        <item x="5"/>
        <item x="6"/>
        <item x="0"/>
        <item x="1"/>
        <item x="2"/>
        <item x="8"/>
        <item x="7"/>
        <item m="1" x="12"/>
        <item x="10"/>
        <item x="11"/>
        <item x="9"/>
        <item t="default"/>
      </items>
    </pivotField>
    <pivotField compact="0" showAll="0"/>
    <pivotField compact="0" showAll="0"/>
    <pivotField dataField="1" compact="0" showAll="0"/>
    <pivotField axis="axisRow" compact="0" outline="0" showAll="0">
      <items count="14">
        <item x="0"/>
        <item x="2"/>
        <item x="3"/>
        <item x="4"/>
        <item x="5"/>
        <item x="6"/>
        <item x="1"/>
        <item x="7"/>
        <item x="8"/>
        <item x="9"/>
        <item x="10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showAll="0"/>
    <pivotField compact="0" showAll="0"/>
  </pivotFields>
  <rowFields count="2">
    <field x="6"/>
    <field x="2"/>
  </rowFields>
  <rowItems count="30">
    <i>
      <x/>
      <x v="6"/>
    </i>
    <i t="default">
      <x/>
    </i>
    <i>
      <x v="1"/>
      <x v="1"/>
    </i>
    <i t="default">
      <x v="1"/>
    </i>
    <i>
      <x v="2"/>
      <x v="1"/>
    </i>
    <i r="1">
      <x v="2"/>
    </i>
    <i t="default">
      <x v="2"/>
    </i>
    <i>
      <x v="3"/>
      <x v="3"/>
    </i>
    <i t="default">
      <x v="3"/>
    </i>
    <i>
      <x v="4"/>
      <x v="3"/>
    </i>
    <i t="default">
      <x v="4"/>
    </i>
    <i>
      <x v="5"/>
      <x v="8"/>
    </i>
    <i t="default">
      <x v="5"/>
    </i>
    <i>
      <x v="6"/>
      <x v="3"/>
    </i>
    <i t="default">
      <x v="6"/>
    </i>
    <i>
      <x v="7"/>
      <x v="7"/>
    </i>
    <i r="1">
      <x v="12"/>
    </i>
    <i t="default">
      <x v="7"/>
    </i>
    <i>
      <x v="8"/>
      <x v="5"/>
    </i>
    <i t="default">
      <x v="8"/>
    </i>
    <i>
      <x v="9"/>
      <x v="5"/>
    </i>
    <i t="default">
      <x v="9"/>
    </i>
    <i>
      <x v="10"/>
      <x v="6"/>
    </i>
    <i t="default">
      <x v="10"/>
    </i>
    <i>
      <x v="11"/>
      <x v="10"/>
    </i>
    <i t="default">
      <x v="11"/>
    </i>
    <i>
      <x v="12"/>
      <x/>
    </i>
    <i r="1">
      <x v="11"/>
    </i>
    <i t="default">
      <x v="12"/>
    </i>
    <i t="grand">
      <x/>
    </i>
  </rowItems>
  <colItems count="1">
    <i/>
  </colItems>
  <dataFields count="1">
    <dataField name="Count of COMPLETION DATE" fld="5" subtotal="count" baseField="0" baseItem="0"/>
  </dataFields>
  <formats count="21"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6" type="button" dataOnly="0" labelOnly="1" outline="0" axis="axisRow" fieldPosition="0"/>
    </format>
    <format dxfId="45">
      <pivotArea field="2" type="button" dataOnly="0" labelOnly="1" outline="0" axis="axisRow" fieldPosition="1"/>
    </format>
    <format dxfId="44">
      <pivotArea dataOnly="0" labelOnly="1" outline="0" fieldPosition="0">
        <references count="1">
          <reference field="6" count="0"/>
        </references>
      </pivotArea>
    </format>
    <format dxfId="43">
      <pivotArea dataOnly="0" labelOnly="1" outline="0" fieldPosition="0">
        <references count="1">
          <reference field="6" count="0" defaultSubtotal="1"/>
        </references>
      </pivotArea>
    </format>
    <format dxfId="42">
      <pivotArea dataOnly="0" labelOnly="1" grandRow="1" outline="0" fieldPosition="0"/>
    </format>
    <format dxfId="41">
      <pivotArea dataOnly="0" labelOnly="1" outline="0" fieldPosition="0">
        <references count="2">
          <reference field="2" count="1">
            <x v="6"/>
          </reference>
          <reference field="6" count="1" selected="0">
            <x v="0"/>
          </reference>
        </references>
      </pivotArea>
    </format>
    <format dxfId="40">
      <pivotArea dataOnly="0" labelOnly="1" outline="0" fieldPosition="0">
        <references count="2">
          <reference field="2" count="1">
            <x v="1"/>
          </reference>
          <reference field="6" count="1" selected="0">
            <x v="1"/>
          </reference>
        </references>
      </pivotArea>
    </format>
    <format dxfId="39">
      <pivotArea dataOnly="0" labelOnly="1" outline="0" fieldPosition="0">
        <references count="2">
          <reference field="2" count="2">
            <x v="1"/>
            <x v="2"/>
          </reference>
          <reference field="6" count="1" selected="0">
            <x v="2"/>
          </reference>
        </references>
      </pivotArea>
    </format>
    <format dxfId="38">
      <pivotArea dataOnly="0" labelOnly="1" outline="0" fieldPosition="0">
        <references count="2">
          <reference field="2" count="1">
            <x v="3"/>
          </reference>
          <reference field="6" count="1" selected="0">
            <x v="3"/>
          </reference>
        </references>
      </pivotArea>
    </format>
    <format dxfId="37">
      <pivotArea dataOnly="0" labelOnly="1" outline="0" fieldPosition="0">
        <references count="2">
          <reference field="2" count="1">
            <x v="3"/>
          </reference>
          <reference field="6" count="1" selected="0">
            <x v="4"/>
          </reference>
        </references>
      </pivotArea>
    </format>
    <format dxfId="36">
      <pivotArea dataOnly="0" labelOnly="1" outline="0" fieldPosition="0">
        <references count="2">
          <reference field="2" count="1">
            <x v="8"/>
          </reference>
          <reference field="6" count="1" selected="0">
            <x v="5"/>
          </reference>
        </references>
      </pivotArea>
    </format>
    <format dxfId="35">
      <pivotArea dataOnly="0" labelOnly="1" outline="0" fieldPosition="0">
        <references count="2">
          <reference field="2" count="1">
            <x v="3"/>
          </reference>
          <reference field="6" count="1" selected="0">
            <x v="6"/>
          </reference>
        </references>
      </pivotArea>
    </format>
    <format dxfId="34">
      <pivotArea dataOnly="0" labelOnly="1" outline="0" fieldPosition="0">
        <references count="2">
          <reference field="2" count="1">
            <x v="7"/>
          </reference>
          <reference field="6" count="1" selected="0">
            <x v="7"/>
          </reference>
        </references>
      </pivotArea>
    </format>
    <format dxfId="33">
      <pivotArea dataOnly="0" labelOnly="1" outline="0" fieldPosition="0">
        <references count="2">
          <reference field="2" count="1">
            <x v="5"/>
          </reference>
          <reference field="6" count="1" selected="0">
            <x v="8"/>
          </reference>
        </references>
      </pivotArea>
    </format>
    <format dxfId="32">
      <pivotArea dataOnly="0" labelOnly="1" outline="0" fieldPosition="0">
        <references count="2">
          <reference field="2" count="1">
            <x v="5"/>
          </reference>
          <reference field="6" count="1" selected="0">
            <x v="9"/>
          </reference>
        </references>
      </pivotArea>
    </format>
    <format dxfId="31">
      <pivotArea dataOnly="0" labelOnly="1" outline="0" fieldPosition="0">
        <references count="2">
          <reference field="2" count="1">
            <x v="6"/>
          </reference>
          <reference field="6" count="1" selected="0">
            <x v="10"/>
          </reference>
        </references>
      </pivotArea>
    </format>
    <format dxfId="30">
      <pivotArea dataOnly="0" labelOnly="1" outline="0" fieldPosition="0">
        <references count="2">
          <reference field="2" count="1">
            <x v="10"/>
          </reference>
          <reference field="6" count="1" selected="0">
            <x v="11"/>
          </reference>
        </references>
      </pivotArea>
    </format>
    <format dxfId="29">
      <pivotArea dataOnly="0" labelOnly="1" outline="0" fieldPosition="0">
        <references count="2">
          <reference field="2" count="1">
            <x v="11"/>
          </reference>
          <reference field="6" count="1" selected="0">
            <x v="12"/>
          </reference>
        </references>
      </pivotArea>
    </format>
    <format dxfId="28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" type="count" evalOrder="-1" id="1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06C51B-6057-48D2-8ED5-965BF10A14D3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1">
  <location ref="J5:L19" firstHeaderRow="0" firstDataRow="1" firstDataCol="1"/>
  <pivotFields count="9"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axis="axisRow" compact="0" showAll="0">
      <items count="14">
        <item x="0"/>
        <item x="2"/>
        <item x="3"/>
        <item x="4"/>
        <item x="5"/>
        <item x="6"/>
        <item x="1"/>
        <item x="7"/>
        <item x="8"/>
        <item x="9"/>
        <item x="10"/>
        <item x="11"/>
        <item x="12"/>
        <item t="default"/>
      </items>
    </pivotField>
    <pivotField dataField="1" compact="0" numFmtId="167" showAll="0"/>
    <pivotField compact="0" showAll="0"/>
  </pivotFields>
  <rowFields count="1">
    <field x="6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OMPLETION DATE" fld="5" subtotal="count" baseField="0" baseItem="0"/>
    <dataField name="Sum of Price" fld="7" baseField="0" baseItem="0"/>
  </dataFields>
  <formats count="6"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6" type="button" dataOnly="0" labelOnly="1" outline="0" axis="axisRow" fieldPosition="0"/>
    </format>
    <format dxfId="51">
      <pivotArea dataOnly="0" labelOnly="1" outline="0" fieldPosition="0">
        <references count="1">
          <reference field="6" count="0"/>
        </references>
      </pivotArea>
    </format>
    <format dxfId="50">
      <pivotArea dataOnly="0" labelOnly="1" grandRow="1" outline="0" fieldPosition="0"/>
    </format>
    <format dxfId="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7DE2185-9471-4FBF-9CCF-6135059DCCAE}" name="book_db" displayName="book_db" ref="A4:H119" totalsRowShown="0" headerRowDxfId="64" dataDxfId="63">
  <autoFilter ref="A4:H119" xr:uid="{D7DE2185-9471-4FBF-9CCF-6135059DCCAE}"/>
  <sortState xmlns:xlrd2="http://schemas.microsoft.com/office/spreadsheetml/2017/richdata2" ref="B5:F119">
    <sortCondition ref="B4:B119"/>
  </sortState>
  <tableColumns count="8">
    <tableColumn id="7" xr3:uid="{3BB5C6D6-4F2B-4E14-8094-9334EC413CFA}" name="Book_ID" dataDxfId="62"/>
    <tableColumn id="1" xr3:uid="{7C899F75-0B64-4951-9417-D26AB8F5E8D3}" name="Category" dataDxfId="61"/>
    <tableColumn id="2" xr3:uid="{03226C0E-D4A1-40F9-B8CE-49065120F53A}" name="Author" dataDxfId="60"/>
    <tableColumn id="3" xr3:uid="{36F39B97-6E1C-4678-82CD-9318365FE5C8}" name="Book Title" dataDxfId="59"/>
    <tableColumn id="4" xr3:uid="{17DA2B5A-E714-4535-9F91-5FC0FB3B5711}" name="Year" dataDxfId="58"/>
    <tableColumn id="5" xr3:uid="{30EEEB89-D407-439B-94C1-33CCC4101240}" name="Rating" dataDxfId="57"/>
    <tableColumn id="6" xr3:uid="{D99F1FDB-41E0-44E7-8F3F-5E78D0E380C7}" name="Price" dataDxfId="56"/>
    <tableColumn id="8" xr3:uid="{47329ADD-9B27-45E4-BB77-99E56D78CA28}" name="Page No." dataDxfId="5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F7CCAD-9768-4F04-A1F4-2C0EB4480C43}" name="Reading_status_tb" displayName="Reading_status_tb" ref="D2:D5" totalsRowShown="0" headerRowDxfId="27" dataDxfId="26">
  <autoFilter ref="D2:D5" xr:uid="{A5F7CCAD-9768-4F04-A1F4-2C0EB4480C43}"/>
  <tableColumns count="1">
    <tableColumn id="1" xr3:uid="{76A61788-0115-4E4B-9D43-DA4B54D9497B}" name="Reading Status" dataDxfId="2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3E37451-C14C-43AA-B8AC-A35C2912C457}" name="Count_of_books_per_category_tb" displayName="Count_of_books_per_category_tb" ref="A2:B22" totalsRowShown="0" headerRowDxfId="24" dataDxfId="23">
  <autoFilter ref="A2:B22" xr:uid="{F3E37451-C14C-43AA-B8AC-A35C2912C457}"/>
  <tableColumns count="2">
    <tableColumn id="1" xr3:uid="{C532AB70-D814-4E0B-99EB-2E4E4C520B71}" name="Category" dataDxfId="22"/>
    <tableColumn id="2" xr3:uid="{7E949458-B0F2-4E5C-8BBC-411B7960A552}" name="Count of books" dataDxfId="21">
      <calculatedColumnFormula>COUNTIF(book_db[Category],Count_of_books_per_category_tb[[#This Row],[Category]])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086730-CF33-4450-9464-47AD65F98CC7}" name="Month_tb" displayName="Month_tb" ref="F2:G14" totalsRowShown="0" headerRowDxfId="20" dataDxfId="19">
  <autoFilter ref="F2:G14" xr:uid="{36086730-CF33-4450-9464-47AD65F98CC7}"/>
  <tableColumns count="2">
    <tableColumn id="1" xr3:uid="{90A89F1B-AF5D-456C-B123-A93DDF502679}" name="Month name" dataDxfId="18"/>
    <tableColumn id="2" xr3:uid="{C6D48578-EA7C-46C0-B8FD-ED4D5FE11E8F}" name="Month number" dataDxfId="1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39F993-4A01-46AA-8A99-42CF60AB1351}" name="Category_per_Month_tb" displayName="Category_per_Month_tb" ref="R6:S26" totalsRowShown="0" headerRowDxfId="16" dataDxfId="15">
  <autoFilter ref="R6:S26" xr:uid="{0539F993-4A01-46AA-8A99-42CF60AB1351}"/>
  <tableColumns count="2">
    <tableColumn id="1" xr3:uid="{1C88CAC4-0DC9-45B9-BA91-55D2B3F4E7F1}" name="Category" dataDxfId="14"/>
    <tableColumn id="2" xr3:uid="{BFC399D7-224F-409E-AE55-0B28A6605B63}" name="Count" dataDxfId="13">
      <calculatedColumnFormula>COUNTIFS(book_reading_tb[Month_name],Dashboard!$B$6,book_reading_tb[Category],R7)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27B8AF-B63D-49DB-92B4-4BE4EE9F644F}" name="book_reading_tb" displayName="book_reading_tb" ref="B26:K57" totalsRowShown="0" headerRowDxfId="10">
  <tableColumns count="10">
    <tableColumn id="1" xr3:uid="{072C0E11-B9F0-411A-BABD-1BAFD8DBBB42}" name="TITLE" dataDxfId="9"/>
    <tableColumn id="2" xr3:uid="{FFCFBE43-2DCE-4B74-8EEC-C1B30926D250}" name="AUTHOR" dataDxfId="8">
      <calculatedColumnFormula>IFERROR(INDEX(book_db[],MATCH(Dashboard!$B27,book_db[Book Title],0),MATCH(Dashboard!$C$26,book_db[#Headers],0)), "")</calculatedColumnFormula>
    </tableColumn>
    <tableColumn id="3" xr3:uid="{1CB2AB50-2FA3-42CD-9B63-7D3779968CBB}" name="Category" dataDxfId="7">
      <calculatedColumnFormula>IFERROR(INDEX(book_db[],MATCH(Dashboard!$B27,book_db[Book Title],0),MATCH(Dashboard!$D$26,book_db[#Headers],0)), "")</calculatedColumnFormula>
    </tableColumn>
    <tableColumn id="4" xr3:uid="{6F067075-F0F0-4B1C-922A-0F0F6987A0BA}" name="READING STATUS" dataDxfId="6"/>
    <tableColumn id="11" xr3:uid="{22603B20-0BF5-45F2-83A1-1B7E3D56D4AB}" name="Progress bar" dataDxfId="5">
      <calculatedColumnFormula>REPT("|",100*book_reading_tb[[#This Row],[Page No.]]/INDEX(book_db[],MATCH(book_reading_tb[[#This Row],[TITLE]],book_db[Book Title],0),8))</calculatedColumnFormula>
    </tableColumn>
    <tableColumn id="9" xr3:uid="{C9333761-A25F-4B8A-93A7-AA7D670078FE}" name="Page No." dataDxfId="4"/>
    <tableColumn id="5" xr3:uid="{5FA102EA-73D0-4799-89C0-813264F040D5}" name="COMPLETION DATE" dataDxfId="3"/>
    <tableColumn id="6" xr3:uid="{E64FB652-63FA-485A-A0EF-BEE7401B0D5B}" name="Month_name" dataDxfId="2">
      <calculatedColumnFormula>IFERROR(INDEX(Month_tb[],MATCH(MONTH(book_reading_tb[[#This Row],[COMPLETION DATE]]),Month_tb[Month number],0),1), "NA")</calculatedColumnFormula>
    </tableColumn>
    <tableColumn id="7" xr3:uid="{19BBD25C-8498-4BF0-BD52-7F77825CD58C}" name="Price" dataDxfId="1">
      <calculatedColumnFormula>IFERROR(INDEX(book_db[],MATCH(Dashboard!$B27,book_db[Book Title],0),MATCH(Dashboard!$J$26,book_db[#Headers],0)),"")</calculatedColumnFormula>
    </tableColumn>
    <tableColumn id="8" xr3:uid="{0331A9A5-C0D3-48FE-9991-68BCEBEF502B}" name="Book_ID" dataDxfId="0">
      <calculatedColumnFormula>INDEX(book_db[],MATCH(book_reading_tb[[#This Row],[TITLE]],book_db[Book Title],0),1)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15" row="6">
    <wetp:webextensionref xmlns:r="http://schemas.openxmlformats.org/officeDocument/2006/relationships" r:id="rId1"/>
  </wetp:taskpane>
  <wetp:taskpane dockstate="right" visibility="0" width="386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78A1829-67C9-42AF-9CF6-D534CCE008B2}">
  <we:reference id="wa200005271" version="1.0.0.0" store="en-US" storeType="OMEX"/>
  <we:alternateReferences>
    <we:reference id="WA200005271" version="1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91C7D28-AE96-488A-A857-DEADC7C08EC6}">
  <we:reference id="wa200005107" version="1.1.0.0" store="en-US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438B1-999F-4272-9EF8-B7E6C4C9E0D2}">
  <dimension ref="C3:D6"/>
  <sheetViews>
    <sheetView workbookViewId="0">
      <selection activeCell="D16" sqref="D16"/>
    </sheetView>
  </sheetViews>
  <sheetFormatPr defaultRowHeight="19.05" x14ac:dyDescent="0.35"/>
  <cols>
    <col min="1" max="2" width="9" style="51"/>
    <col min="3" max="3" width="9" style="53"/>
    <col min="4" max="4" width="255.625" style="51" bestFit="1" customWidth="1"/>
    <col min="5" max="16384" width="9" style="51"/>
  </cols>
  <sheetData>
    <row r="3" spans="3:4" x14ac:dyDescent="0.35">
      <c r="C3" s="53">
        <v>1</v>
      </c>
      <c r="D3" s="51" t="s">
        <v>269</v>
      </c>
    </row>
    <row r="4" spans="3:4" x14ac:dyDescent="0.35">
      <c r="C4" s="53">
        <v>2</v>
      </c>
      <c r="D4" s="51" t="s">
        <v>270</v>
      </c>
    </row>
    <row r="5" spans="3:4" ht="57.1" x14ac:dyDescent="0.35">
      <c r="C5" s="53">
        <v>3</v>
      </c>
      <c r="D5" s="52" t="s">
        <v>271</v>
      </c>
    </row>
    <row r="6" spans="3:4" x14ac:dyDescent="0.35">
      <c r="C6" s="53">
        <v>4</v>
      </c>
      <c r="D6" s="51" t="s">
        <v>272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E2E06-8CFD-4AC2-A8F7-9BED8E4E9516}">
  <sheetPr codeName="Sheet1"/>
  <dimension ref="A1:H119"/>
  <sheetViews>
    <sheetView zoomScale="80" zoomScaleNormal="80" workbookViewId="0">
      <selection activeCell="D22" sqref="D22"/>
    </sheetView>
  </sheetViews>
  <sheetFormatPr defaultRowHeight="16.3" x14ac:dyDescent="0.3"/>
  <cols>
    <col min="1" max="1" width="24.875" style="6" bestFit="1" customWidth="1"/>
    <col min="2" max="2" width="37.625" style="6" bestFit="1" customWidth="1"/>
    <col min="3" max="3" width="49" style="6" bestFit="1" customWidth="1"/>
    <col min="4" max="4" width="52.875" style="6" customWidth="1"/>
    <col min="5" max="5" width="13.625" style="6" bestFit="1" customWidth="1"/>
    <col min="6" max="6" width="17.875" style="6" bestFit="1" customWidth="1"/>
    <col min="7" max="7" width="19.25" style="6" bestFit="1" customWidth="1"/>
    <col min="8" max="8" width="14.375" style="6" bestFit="1" customWidth="1"/>
    <col min="9" max="16384" width="9" style="6"/>
  </cols>
  <sheetData>
    <row r="1" spans="1:8" x14ac:dyDescent="0.3">
      <c r="A1" s="3" t="s">
        <v>266</v>
      </c>
    </row>
    <row r="2" spans="1:8" x14ac:dyDescent="0.3">
      <c r="A2" s="23">
        <f>COUNT(book_db[Book_ID])</f>
        <v>115</v>
      </c>
    </row>
    <row r="4" spans="1:8" x14ac:dyDescent="0.3">
      <c r="A4" s="7" t="s">
        <v>240</v>
      </c>
      <c r="B4" s="7" t="s">
        <v>126</v>
      </c>
      <c r="C4" s="7" t="s">
        <v>0</v>
      </c>
      <c r="D4" s="7" t="s">
        <v>112</v>
      </c>
      <c r="E4" s="7" t="s">
        <v>107</v>
      </c>
      <c r="F4" s="7" t="s">
        <v>81</v>
      </c>
      <c r="G4" s="7" t="s">
        <v>239</v>
      </c>
      <c r="H4" s="7" t="s">
        <v>263</v>
      </c>
    </row>
    <row r="5" spans="1:8" x14ac:dyDescent="0.3">
      <c r="A5" s="6">
        <v>1</v>
      </c>
      <c r="B5" s="6" t="s">
        <v>60</v>
      </c>
      <c r="C5" s="6" t="s">
        <v>120</v>
      </c>
      <c r="D5" s="6" t="s">
        <v>181</v>
      </c>
      <c r="E5" s="6">
        <v>1950</v>
      </c>
      <c r="F5" s="8">
        <v>4.3</v>
      </c>
      <c r="G5" s="9">
        <v>3074</v>
      </c>
      <c r="H5" s="22">
        <v>688</v>
      </c>
    </row>
    <row r="6" spans="1:8" x14ac:dyDescent="0.3">
      <c r="A6" s="6">
        <v>2</v>
      </c>
      <c r="B6" s="6" t="s">
        <v>60</v>
      </c>
      <c r="C6" s="6" t="s">
        <v>121</v>
      </c>
      <c r="D6" s="6" t="s">
        <v>182</v>
      </c>
      <c r="E6" s="6">
        <v>1992</v>
      </c>
      <c r="F6" s="8">
        <v>4.2</v>
      </c>
      <c r="G6" s="9">
        <v>407</v>
      </c>
      <c r="H6" s="22">
        <v>237</v>
      </c>
    </row>
    <row r="7" spans="1:8" x14ac:dyDescent="0.3">
      <c r="A7" s="6">
        <v>3</v>
      </c>
      <c r="B7" s="6" t="s">
        <v>60</v>
      </c>
      <c r="C7" s="6" t="s">
        <v>122</v>
      </c>
      <c r="D7" s="6" t="s">
        <v>183</v>
      </c>
      <c r="E7" s="6">
        <v>2012</v>
      </c>
      <c r="F7" s="8">
        <v>4.0999999999999996</v>
      </c>
      <c r="G7" s="9">
        <v>212</v>
      </c>
      <c r="H7" s="22">
        <v>160</v>
      </c>
    </row>
    <row r="8" spans="1:8" x14ac:dyDescent="0.3">
      <c r="A8" s="6">
        <v>4</v>
      </c>
      <c r="B8" s="6" t="s">
        <v>60</v>
      </c>
      <c r="C8" s="6" t="s">
        <v>123</v>
      </c>
      <c r="D8" s="6" t="s">
        <v>184</v>
      </c>
      <c r="E8" s="6">
        <v>1972</v>
      </c>
      <c r="F8" s="8">
        <v>4.0999999999999996</v>
      </c>
      <c r="G8" s="9">
        <v>329</v>
      </c>
      <c r="H8" s="22">
        <v>176</v>
      </c>
    </row>
    <row r="9" spans="1:8" x14ac:dyDescent="0.3">
      <c r="A9" s="6">
        <v>5</v>
      </c>
      <c r="B9" s="6" t="s">
        <v>73</v>
      </c>
      <c r="C9" s="6" t="s">
        <v>145</v>
      </c>
      <c r="D9" s="6" t="s">
        <v>150</v>
      </c>
      <c r="E9" s="6">
        <v>2018</v>
      </c>
      <c r="F9" s="8">
        <v>4.6100000000000003</v>
      </c>
      <c r="G9" s="9">
        <v>431</v>
      </c>
      <c r="H9" s="22">
        <v>448</v>
      </c>
    </row>
    <row r="10" spans="1:8" x14ac:dyDescent="0.3">
      <c r="A10" s="6">
        <v>6</v>
      </c>
      <c r="B10" s="6" t="s">
        <v>73</v>
      </c>
      <c r="C10" s="6" t="s">
        <v>36</v>
      </c>
      <c r="D10" s="6" t="s">
        <v>151</v>
      </c>
      <c r="E10" s="6">
        <v>2018</v>
      </c>
      <c r="F10" s="8">
        <v>4.4800000000000004</v>
      </c>
      <c r="G10" s="9">
        <v>387</v>
      </c>
      <c r="H10" s="22">
        <v>400</v>
      </c>
    </row>
    <row r="11" spans="1:8" x14ac:dyDescent="0.3">
      <c r="A11" s="6">
        <v>7</v>
      </c>
      <c r="B11" s="6" t="s">
        <v>73</v>
      </c>
      <c r="C11" s="6" t="s">
        <v>48</v>
      </c>
      <c r="D11" s="6" t="s">
        <v>152</v>
      </c>
      <c r="E11" s="6">
        <v>2005</v>
      </c>
      <c r="F11" s="8">
        <v>4.26</v>
      </c>
      <c r="G11" s="9">
        <v>699</v>
      </c>
      <c r="H11" s="22">
        <v>288</v>
      </c>
    </row>
    <row r="12" spans="1:8" x14ac:dyDescent="0.3">
      <c r="A12" s="6">
        <v>8</v>
      </c>
      <c r="B12" s="6" t="s">
        <v>73</v>
      </c>
      <c r="C12" s="6" t="s">
        <v>21</v>
      </c>
      <c r="D12" s="6" t="s">
        <v>153</v>
      </c>
      <c r="E12" s="6">
        <v>2012</v>
      </c>
      <c r="F12" s="8">
        <v>4.18</v>
      </c>
      <c r="G12" s="9">
        <v>297</v>
      </c>
      <c r="H12" s="22">
        <v>352</v>
      </c>
    </row>
    <row r="13" spans="1:8" x14ac:dyDescent="0.3">
      <c r="A13" s="6">
        <v>9</v>
      </c>
      <c r="B13" s="6" t="s">
        <v>73</v>
      </c>
      <c r="C13" s="6" t="s">
        <v>154</v>
      </c>
      <c r="D13" s="6" t="s">
        <v>155</v>
      </c>
      <c r="E13" s="6">
        <v>1994</v>
      </c>
      <c r="F13" s="8">
        <v>4.34</v>
      </c>
      <c r="G13" s="9">
        <v>571</v>
      </c>
      <c r="H13" s="22">
        <v>464</v>
      </c>
    </row>
    <row r="14" spans="1:8" x14ac:dyDescent="0.3">
      <c r="A14" s="6">
        <v>10</v>
      </c>
      <c r="B14" s="6" t="s">
        <v>78</v>
      </c>
      <c r="C14" s="6" t="s">
        <v>177</v>
      </c>
      <c r="D14" s="6" t="s">
        <v>185</v>
      </c>
      <c r="E14" s="6">
        <v>1967</v>
      </c>
      <c r="F14" s="8">
        <v>4.07</v>
      </c>
      <c r="G14" s="9">
        <v>945</v>
      </c>
      <c r="H14" s="22">
        <v>100</v>
      </c>
    </row>
    <row r="15" spans="1:8" x14ac:dyDescent="0.3">
      <c r="A15" s="6">
        <v>11</v>
      </c>
      <c r="B15" s="6" t="s">
        <v>78</v>
      </c>
      <c r="C15" s="6" t="s">
        <v>41</v>
      </c>
      <c r="D15" s="6" t="s">
        <v>186</v>
      </c>
      <c r="E15" s="6">
        <v>1936</v>
      </c>
      <c r="F15" s="8">
        <v>4.24</v>
      </c>
      <c r="G15" s="9">
        <v>179</v>
      </c>
      <c r="H15" s="22">
        <v>272</v>
      </c>
    </row>
    <row r="16" spans="1:8" x14ac:dyDescent="0.3">
      <c r="A16" s="6">
        <v>12</v>
      </c>
      <c r="B16" s="6" t="s">
        <v>78</v>
      </c>
      <c r="C16" s="6" t="s">
        <v>54</v>
      </c>
      <c r="D16" s="6" t="s">
        <v>187</v>
      </c>
      <c r="E16" s="6">
        <v>2009</v>
      </c>
      <c r="F16" s="8">
        <v>4.07</v>
      </c>
      <c r="G16" s="9">
        <v>336</v>
      </c>
      <c r="H16" s="22">
        <v>144</v>
      </c>
    </row>
    <row r="17" spans="1:8" x14ac:dyDescent="0.3">
      <c r="A17" s="6">
        <v>13</v>
      </c>
      <c r="B17" s="6" t="s">
        <v>78</v>
      </c>
      <c r="C17" s="6" t="s">
        <v>178</v>
      </c>
      <c r="D17" s="6" t="s">
        <v>188</v>
      </c>
      <c r="E17" s="6">
        <v>2011</v>
      </c>
      <c r="F17" s="8">
        <v>4.1399999999999997</v>
      </c>
      <c r="G17" s="9">
        <v>499</v>
      </c>
      <c r="H17" s="22">
        <v>512</v>
      </c>
    </row>
    <row r="18" spans="1:8" x14ac:dyDescent="0.3">
      <c r="A18" s="6">
        <v>14</v>
      </c>
      <c r="B18" s="6" t="s">
        <v>78</v>
      </c>
      <c r="C18" s="6" t="s">
        <v>179</v>
      </c>
      <c r="D18" s="6" t="s">
        <v>189</v>
      </c>
      <c r="E18" s="6">
        <v>2017</v>
      </c>
      <c r="F18" s="8">
        <v>4.2</v>
      </c>
      <c r="G18" s="9">
        <v>995</v>
      </c>
      <c r="H18" s="22">
        <v>593</v>
      </c>
    </row>
    <row r="19" spans="1:8" x14ac:dyDescent="0.3">
      <c r="A19" s="6">
        <v>15</v>
      </c>
      <c r="B19" s="6" t="s">
        <v>62</v>
      </c>
      <c r="C19" s="6" t="s">
        <v>18</v>
      </c>
      <c r="D19" s="6" t="s">
        <v>190</v>
      </c>
      <c r="E19" s="6">
        <v>1997</v>
      </c>
      <c r="F19" s="8">
        <v>4.5</v>
      </c>
      <c r="G19" s="9">
        <v>1049</v>
      </c>
      <c r="H19" s="22">
        <v>320</v>
      </c>
    </row>
    <row r="20" spans="1:8" x14ac:dyDescent="0.3">
      <c r="A20" s="6">
        <v>16</v>
      </c>
      <c r="B20" s="6" t="s">
        <v>62</v>
      </c>
      <c r="C20" s="6" t="s">
        <v>108</v>
      </c>
      <c r="D20" s="6" t="s">
        <v>90</v>
      </c>
      <c r="E20" s="6">
        <v>1956</v>
      </c>
      <c r="F20" s="8">
        <v>4.3</v>
      </c>
      <c r="G20" s="9">
        <v>850</v>
      </c>
      <c r="H20" s="22">
        <v>208</v>
      </c>
    </row>
    <row r="21" spans="1:8" x14ac:dyDescent="0.3">
      <c r="A21" s="6">
        <v>17</v>
      </c>
      <c r="B21" s="6" t="s">
        <v>62</v>
      </c>
      <c r="C21" s="6" t="s">
        <v>109</v>
      </c>
      <c r="D21" s="6" t="s">
        <v>13</v>
      </c>
      <c r="E21" s="6">
        <v>1952</v>
      </c>
      <c r="F21" s="8">
        <v>4.4000000000000004</v>
      </c>
      <c r="G21" s="9">
        <v>11978</v>
      </c>
      <c r="H21" s="22">
        <v>870</v>
      </c>
    </row>
    <row r="22" spans="1:8" x14ac:dyDescent="0.3">
      <c r="A22" s="6">
        <v>18</v>
      </c>
      <c r="B22" s="6" t="s">
        <v>62</v>
      </c>
      <c r="C22" s="6" t="s">
        <v>110</v>
      </c>
      <c r="D22" s="6" t="s">
        <v>191</v>
      </c>
      <c r="E22" s="6">
        <v>1988</v>
      </c>
      <c r="F22" s="8">
        <v>4.4000000000000004</v>
      </c>
      <c r="G22" s="9">
        <v>270</v>
      </c>
      <c r="H22" s="22">
        <v>192</v>
      </c>
    </row>
    <row r="23" spans="1:8" x14ac:dyDescent="0.3">
      <c r="A23" s="6">
        <v>19</v>
      </c>
      <c r="B23" s="6" t="s">
        <v>62</v>
      </c>
      <c r="C23" s="6" t="s">
        <v>4</v>
      </c>
      <c r="D23" s="6" t="s">
        <v>3</v>
      </c>
      <c r="E23" s="6">
        <v>1964</v>
      </c>
      <c r="F23" s="8">
        <v>4.5</v>
      </c>
      <c r="G23" s="9">
        <v>469</v>
      </c>
      <c r="H23" s="22">
        <v>224</v>
      </c>
    </row>
    <row r="24" spans="1:8" x14ac:dyDescent="0.3">
      <c r="A24" s="6">
        <v>20</v>
      </c>
      <c r="B24" s="6" t="s">
        <v>62</v>
      </c>
      <c r="C24" s="6" t="s">
        <v>2</v>
      </c>
      <c r="D24" s="6" t="s">
        <v>1</v>
      </c>
      <c r="E24" s="6">
        <v>1963</v>
      </c>
      <c r="F24" s="8">
        <v>4.4000000000000004</v>
      </c>
      <c r="G24" s="9">
        <v>1226</v>
      </c>
      <c r="H24" s="22">
        <v>32</v>
      </c>
    </row>
    <row r="25" spans="1:8" x14ac:dyDescent="0.3">
      <c r="A25" s="6">
        <v>21</v>
      </c>
      <c r="B25" s="6" t="s">
        <v>62</v>
      </c>
      <c r="C25" s="6" t="s">
        <v>47</v>
      </c>
      <c r="D25" s="6" t="s">
        <v>46</v>
      </c>
      <c r="E25" s="6">
        <v>1947</v>
      </c>
      <c r="F25" s="8">
        <v>4.3</v>
      </c>
      <c r="G25" s="9">
        <v>697</v>
      </c>
      <c r="H25" s="22">
        <v>32</v>
      </c>
    </row>
    <row r="26" spans="1:8" x14ac:dyDescent="0.3">
      <c r="A26" s="6">
        <v>22</v>
      </c>
      <c r="B26" s="6" t="s">
        <v>62</v>
      </c>
      <c r="C26" s="6" t="s">
        <v>32</v>
      </c>
      <c r="D26" s="6" t="s">
        <v>31</v>
      </c>
      <c r="E26" s="6">
        <v>1969</v>
      </c>
      <c r="F26" s="8">
        <v>4.5</v>
      </c>
      <c r="G26" s="9">
        <v>328</v>
      </c>
      <c r="H26" s="22">
        <v>32</v>
      </c>
    </row>
    <row r="27" spans="1:8" x14ac:dyDescent="0.3">
      <c r="A27" s="6">
        <v>23</v>
      </c>
      <c r="B27" s="6" t="s">
        <v>62</v>
      </c>
      <c r="C27" s="6" t="s">
        <v>22</v>
      </c>
      <c r="D27" s="6" t="s">
        <v>42</v>
      </c>
      <c r="E27" s="6">
        <v>1990</v>
      </c>
      <c r="F27" s="8">
        <v>4.5999999999999996</v>
      </c>
      <c r="G27" s="9">
        <v>380</v>
      </c>
      <c r="H27" s="22">
        <v>32</v>
      </c>
    </row>
    <row r="28" spans="1:8" x14ac:dyDescent="0.3">
      <c r="A28" s="6">
        <v>24</v>
      </c>
      <c r="B28" s="6" t="s">
        <v>62</v>
      </c>
      <c r="C28" s="6" t="s">
        <v>108</v>
      </c>
      <c r="D28" s="6" t="s">
        <v>192</v>
      </c>
      <c r="E28" s="6">
        <v>1950</v>
      </c>
      <c r="F28" s="8">
        <v>4.4000000000000004</v>
      </c>
      <c r="G28" s="9">
        <v>252</v>
      </c>
      <c r="H28" s="22">
        <v>56</v>
      </c>
    </row>
    <row r="29" spans="1:8" x14ac:dyDescent="0.3">
      <c r="A29" s="6">
        <v>25</v>
      </c>
      <c r="B29" s="6" t="s">
        <v>62</v>
      </c>
      <c r="C29" s="6" t="s">
        <v>22</v>
      </c>
      <c r="D29" s="6" t="s">
        <v>193</v>
      </c>
      <c r="E29" s="6">
        <v>1960</v>
      </c>
      <c r="F29" s="8">
        <v>4.4000000000000004</v>
      </c>
      <c r="G29" s="9">
        <v>190</v>
      </c>
      <c r="H29" s="22">
        <v>192</v>
      </c>
    </row>
    <row r="30" spans="1:8" x14ac:dyDescent="0.3">
      <c r="A30" s="6">
        <v>26</v>
      </c>
      <c r="B30" s="6" t="s">
        <v>62</v>
      </c>
      <c r="C30" s="6" t="s">
        <v>22</v>
      </c>
      <c r="D30" s="6" t="s">
        <v>33</v>
      </c>
      <c r="E30" s="6">
        <v>1957</v>
      </c>
      <c r="F30" s="8">
        <v>4.3</v>
      </c>
      <c r="G30" s="9">
        <v>194</v>
      </c>
      <c r="H30" s="22">
        <v>1</v>
      </c>
    </row>
    <row r="31" spans="1:8" x14ac:dyDescent="0.3">
      <c r="A31" s="6">
        <v>27</v>
      </c>
      <c r="B31" s="6" t="s">
        <v>62</v>
      </c>
      <c r="C31" s="6" t="s">
        <v>110</v>
      </c>
      <c r="D31" s="6" t="s">
        <v>194</v>
      </c>
      <c r="E31" s="6">
        <v>1982</v>
      </c>
      <c r="F31" s="8">
        <v>4.3</v>
      </c>
      <c r="G31" s="9">
        <v>302</v>
      </c>
      <c r="H31" s="22">
        <v>61</v>
      </c>
    </row>
    <row r="32" spans="1:8" x14ac:dyDescent="0.3">
      <c r="A32" s="6">
        <v>28</v>
      </c>
      <c r="B32" s="6" t="s">
        <v>62</v>
      </c>
      <c r="C32" s="6" t="s">
        <v>45</v>
      </c>
      <c r="D32" s="6" t="s">
        <v>195</v>
      </c>
      <c r="E32" s="6">
        <v>1985</v>
      </c>
      <c r="F32" s="8">
        <v>4.5</v>
      </c>
      <c r="G32" s="9">
        <v>1375</v>
      </c>
      <c r="H32" s="22">
        <v>224</v>
      </c>
    </row>
    <row r="33" spans="1:8" x14ac:dyDescent="0.3">
      <c r="A33" s="6">
        <v>29</v>
      </c>
      <c r="B33" s="6" t="s">
        <v>62</v>
      </c>
      <c r="C33" s="6" t="s">
        <v>111</v>
      </c>
      <c r="D33" s="6" t="s">
        <v>196</v>
      </c>
      <c r="E33" s="6">
        <v>1943</v>
      </c>
      <c r="F33" s="8">
        <v>4.3</v>
      </c>
      <c r="G33" s="9">
        <v>887</v>
      </c>
      <c r="H33" s="22">
        <v>32</v>
      </c>
    </row>
    <row r="34" spans="1:8" x14ac:dyDescent="0.3">
      <c r="A34" s="6">
        <v>30</v>
      </c>
      <c r="B34" s="6" t="s">
        <v>69</v>
      </c>
      <c r="C34" s="6" t="s">
        <v>108</v>
      </c>
      <c r="D34" s="6" t="s">
        <v>5</v>
      </c>
      <c r="E34" s="6">
        <v>1952</v>
      </c>
      <c r="F34" s="8">
        <v>4.5</v>
      </c>
      <c r="G34" s="9">
        <v>1272</v>
      </c>
      <c r="H34" s="22">
        <v>144</v>
      </c>
    </row>
    <row r="35" spans="1:8" x14ac:dyDescent="0.3">
      <c r="A35" s="6">
        <v>31</v>
      </c>
      <c r="B35" s="6" t="s">
        <v>69</v>
      </c>
      <c r="C35" s="6" t="s">
        <v>136</v>
      </c>
      <c r="D35" s="6" t="s">
        <v>137</v>
      </c>
      <c r="E35" s="6">
        <v>2008</v>
      </c>
      <c r="F35" s="8">
        <v>4.3</v>
      </c>
      <c r="G35" s="9">
        <v>405</v>
      </c>
      <c r="H35" s="22">
        <v>256</v>
      </c>
    </row>
    <row r="36" spans="1:8" x14ac:dyDescent="0.3">
      <c r="A36" s="6">
        <v>32</v>
      </c>
      <c r="B36" s="6" t="s">
        <v>69</v>
      </c>
      <c r="C36" s="6" t="s">
        <v>138</v>
      </c>
      <c r="D36" s="6" t="s">
        <v>139</v>
      </c>
      <c r="E36" s="6">
        <v>2007</v>
      </c>
      <c r="F36" s="8">
        <v>4.2</v>
      </c>
      <c r="G36" s="9">
        <v>216</v>
      </c>
      <c r="H36" s="22">
        <v>220</v>
      </c>
    </row>
    <row r="37" spans="1:8" x14ac:dyDescent="0.3">
      <c r="A37" s="6">
        <v>33</v>
      </c>
      <c r="B37" s="6" t="s">
        <v>74</v>
      </c>
      <c r="C37" s="6" t="s">
        <v>146</v>
      </c>
      <c r="D37" s="6" t="s">
        <v>156</v>
      </c>
      <c r="E37" s="6">
        <v>1987</v>
      </c>
      <c r="F37" s="8">
        <v>4.3499999999999996</v>
      </c>
      <c r="G37" s="9">
        <v>1072</v>
      </c>
      <c r="H37" s="22">
        <v>316</v>
      </c>
    </row>
    <row r="38" spans="1:8" x14ac:dyDescent="0.3">
      <c r="A38" s="6">
        <v>34</v>
      </c>
      <c r="B38" s="6" t="s">
        <v>74</v>
      </c>
      <c r="C38" s="6" t="s">
        <v>157</v>
      </c>
      <c r="D38" s="6" t="s">
        <v>158</v>
      </c>
      <c r="E38" s="6">
        <v>1986</v>
      </c>
      <c r="F38" s="8">
        <v>4.55</v>
      </c>
      <c r="G38" s="9">
        <v>617</v>
      </c>
      <c r="H38" s="22">
        <v>416</v>
      </c>
    </row>
    <row r="39" spans="1:8" x14ac:dyDescent="0.3">
      <c r="A39" s="6">
        <v>35</v>
      </c>
      <c r="B39" s="6" t="s">
        <v>74</v>
      </c>
      <c r="C39" s="6" t="s">
        <v>159</v>
      </c>
      <c r="D39" s="6" t="s">
        <v>160</v>
      </c>
      <c r="E39" s="6">
        <v>2012</v>
      </c>
      <c r="F39" s="8">
        <v>4.2300000000000004</v>
      </c>
      <c r="G39" s="9">
        <v>7063</v>
      </c>
      <c r="H39" s="22">
        <v>159</v>
      </c>
    </row>
    <row r="40" spans="1:8" x14ac:dyDescent="0.3">
      <c r="A40" s="6">
        <v>36</v>
      </c>
      <c r="B40" s="6" t="s">
        <v>74</v>
      </c>
      <c r="C40" s="6" t="s">
        <v>161</v>
      </c>
      <c r="D40" s="6" t="s">
        <v>162</v>
      </c>
      <c r="E40" s="6">
        <v>2000</v>
      </c>
      <c r="F40" s="8">
        <v>4.37</v>
      </c>
      <c r="G40" s="9">
        <v>324</v>
      </c>
      <c r="H40" s="22">
        <v>136</v>
      </c>
    </row>
    <row r="41" spans="1:8" x14ac:dyDescent="0.3">
      <c r="A41" s="6">
        <v>37</v>
      </c>
      <c r="B41" s="6" t="s">
        <v>74</v>
      </c>
      <c r="C41" s="6" t="s">
        <v>27</v>
      </c>
      <c r="D41" s="6" t="s">
        <v>163</v>
      </c>
      <c r="E41" s="6">
        <v>1989</v>
      </c>
      <c r="F41" s="8">
        <v>4.28</v>
      </c>
      <c r="G41" s="9">
        <v>884</v>
      </c>
      <c r="H41" s="22">
        <v>1524</v>
      </c>
    </row>
    <row r="42" spans="1:8" x14ac:dyDescent="0.3">
      <c r="A42" s="6">
        <v>38</v>
      </c>
      <c r="B42" s="6" t="s">
        <v>66</v>
      </c>
      <c r="C42" s="6" t="s">
        <v>129</v>
      </c>
      <c r="D42" s="6" t="s">
        <v>197</v>
      </c>
      <c r="E42" s="6">
        <v>1961</v>
      </c>
      <c r="F42" s="8">
        <v>4.8</v>
      </c>
      <c r="G42" s="9">
        <v>2961</v>
      </c>
      <c r="H42" s="22">
        <v>228</v>
      </c>
    </row>
    <row r="43" spans="1:8" x14ac:dyDescent="0.3">
      <c r="A43" s="6">
        <v>39</v>
      </c>
      <c r="B43" s="6" t="s">
        <v>66</v>
      </c>
      <c r="C43" s="6" t="s">
        <v>129</v>
      </c>
      <c r="D43" s="6" t="s">
        <v>198</v>
      </c>
      <c r="E43" s="6">
        <v>1989</v>
      </c>
      <c r="F43" s="8">
        <v>4.7</v>
      </c>
      <c r="G43" s="9">
        <v>10042</v>
      </c>
      <c r="H43" s="22">
        <v>1</v>
      </c>
    </row>
    <row r="44" spans="1:8" x14ac:dyDescent="0.3">
      <c r="A44" s="6">
        <v>40</v>
      </c>
      <c r="B44" s="6" t="s">
        <v>66</v>
      </c>
      <c r="C44" s="6" t="s">
        <v>129</v>
      </c>
      <c r="D44" s="6" t="s">
        <v>199</v>
      </c>
      <c r="E44" s="6">
        <v>2000</v>
      </c>
      <c r="F44" s="8">
        <v>4.5999999999999996</v>
      </c>
      <c r="G44" s="9">
        <v>2349</v>
      </c>
      <c r="H44" s="22">
        <v>192</v>
      </c>
    </row>
    <row r="45" spans="1:8" x14ac:dyDescent="0.3">
      <c r="A45" s="6">
        <v>41</v>
      </c>
      <c r="B45" s="6" t="s">
        <v>66</v>
      </c>
      <c r="C45" s="6" t="s">
        <v>130</v>
      </c>
      <c r="D45" s="6" t="s">
        <v>200</v>
      </c>
      <c r="E45" s="6">
        <v>2010</v>
      </c>
      <c r="F45" s="8">
        <v>4.7</v>
      </c>
      <c r="G45" s="9">
        <v>2445</v>
      </c>
      <c r="H45" s="22">
        <v>726</v>
      </c>
    </row>
    <row r="46" spans="1:8" x14ac:dyDescent="0.3">
      <c r="A46" s="6">
        <v>42</v>
      </c>
      <c r="B46" s="6" t="s">
        <v>66</v>
      </c>
      <c r="C46" s="6" t="s">
        <v>130</v>
      </c>
      <c r="D46" s="6" t="s">
        <v>201</v>
      </c>
      <c r="E46" s="6">
        <v>2012</v>
      </c>
      <c r="F46" s="8">
        <v>4.5999999999999996</v>
      </c>
      <c r="G46" s="9">
        <v>1799</v>
      </c>
      <c r="H46" s="22">
        <v>524</v>
      </c>
    </row>
    <row r="47" spans="1:8" x14ac:dyDescent="0.3">
      <c r="A47" s="6">
        <v>43</v>
      </c>
      <c r="B47" s="6" t="s">
        <v>66</v>
      </c>
      <c r="C47" s="6" t="s">
        <v>130</v>
      </c>
      <c r="D47" s="6" t="s">
        <v>202</v>
      </c>
      <c r="E47" s="6">
        <v>2018</v>
      </c>
      <c r="F47" s="8">
        <v>4.5</v>
      </c>
      <c r="G47" s="9">
        <v>2772</v>
      </c>
      <c r="H47" s="22">
        <v>160</v>
      </c>
    </row>
    <row r="48" spans="1:8" x14ac:dyDescent="0.3">
      <c r="A48" s="6">
        <v>44</v>
      </c>
      <c r="B48" s="6" t="s">
        <v>59</v>
      </c>
      <c r="C48" s="6" t="s">
        <v>40</v>
      </c>
      <c r="D48" s="6" t="s">
        <v>164</v>
      </c>
      <c r="E48" s="6">
        <v>1997</v>
      </c>
      <c r="F48" s="8">
        <v>4.1399999999999997</v>
      </c>
      <c r="G48" s="9">
        <v>499</v>
      </c>
      <c r="H48" s="22">
        <v>352</v>
      </c>
    </row>
    <row r="49" spans="1:8" x14ac:dyDescent="0.3">
      <c r="A49" s="6">
        <v>45</v>
      </c>
      <c r="B49" s="6" t="s">
        <v>59</v>
      </c>
      <c r="C49" s="6" t="s">
        <v>113</v>
      </c>
      <c r="D49" s="6" t="s">
        <v>203</v>
      </c>
      <c r="E49" s="6">
        <v>2015</v>
      </c>
      <c r="F49" s="8">
        <v>4.57</v>
      </c>
      <c r="G49" s="9">
        <v>1049</v>
      </c>
      <c r="H49" s="22">
        <v>336</v>
      </c>
    </row>
    <row r="50" spans="1:8" x14ac:dyDescent="0.3">
      <c r="A50" s="6">
        <v>46</v>
      </c>
      <c r="B50" s="6" t="s">
        <v>59</v>
      </c>
      <c r="C50" s="6" t="s">
        <v>58</v>
      </c>
      <c r="D50" s="6" t="s">
        <v>204</v>
      </c>
      <c r="E50" s="6">
        <v>1997</v>
      </c>
      <c r="F50" s="8">
        <v>4.1500000000000004</v>
      </c>
      <c r="G50" s="9">
        <v>165</v>
      </c>
      <c r="H50" s="22">
        <v>320</v>
      </c>
    </row>
    <row r="51" spans="1:8" x14ac:dyDescent="0.3">
      <c r="A51" s="6">
        <v>47</v>
      </c>
      <c r="B51" s="6" t="s">
        <v>59</v>
      </c>
      <c r="C51" s="6" t="s">
        <v>114</v>
      </c>
      <c r="D51" s="6" t="s">
        <v>205</v>
      </c>
      <c r="E51" s="6">
        <v>2008</v>
      </c>
      <c r="F51" s="8">
        <v>4.08</v>
      </c>
      <c r="G51" s="9">
        <v>1172</v>
      </c>
      <c r="H51" s="22">
        <v>192</v>
      </c>
    </row>
    <row r="52" spans="1:8" x14ac:dyDescent="0.3">
      <c r="A52" s="6">
        <v>48</v>
      </c>
      <c r="B52" s="6" t="s">
        <v>59</v>
      </c>
      <c r="C52" s="6" t="s">
        <v>115</v>
      </c>
      <c r="D52" s="6" t="s">
        <v>206</v>
      </c>
      <c r="E52" s="6">
        <v>2004</v>
      </c>
      <c r="F52" s="8">
        <v>4.17</v>
      </c>
      <c r="G52" s="9">
        <v>857</v>
      </c>
      <c r="H52" s="22">
        <v>144</v>
      </c>
    </row>
    <row r="53" spans="1:8" x14ac:dyDescent="0.3">
      <c r="A53" s="6">
        <v>49</v>
      </c>
      <c r="B53" s="6" t="s">
        <v>59</v>
      </c>
      <c r="C53" s="6" t="s">
        <v>116</v>
      </c>
      <c r="D53" s="6" t="s">
        <v>207</v>
      </c>
      <c r="E53" s="6">
        <v>2017</v>
      </c>
      <c r="F53" s="8">
        <v>4.6100000000000003</v>
      </c>
      <c r="G53" s="9">
        <v>384</v>
      </c>
      <c r="H53" s="22">
        <v>352</v>
      </c>
    </row>
    <row r="54" spans="1:8" x14ac:dyDescent="0.3">
      <c r="A54" s="6">
        <v>50</v>
      </c>
      <c r="B54" s="6" t="s">
        <v>59</v>
      </c>
      <c r="C54" s="6" t="s">
        <v>117</v>
      </c>
      <c r="D54" s="6" t="s">
        <v>208</v>
      </c>
      <c r="E54" s="6">
        <v>2015</v>
      </c>
      <c r="F54" s="8">
        <v>4.0599999999999996</v>
      </c>
      <c r="G54" s="9">
        <v>2114</v>
      </c>
      <c r="H54" s="22">
        <v>160</v>
      </c>
    </row>
    <row r="55" spans="1:8" x14ac:dyDescent="0.3">
      <c r="A55" s="6">
        <v>51</v>
      </c>
      <c r="B55" s="6" t="s">
        <v>59</v>
      </c>
      <c r="C55" s="6" t="s">
        <v>118</v>
      </c>
      <c r="D55" s="6" t="s">
        <v>209</v>
      </c>
      <c r="E55" s="6">
        <v>2013</v>
      </c>
      <c r="F55" s="8">
        <v>4.09</v>
      </c>
      <c r="G55" s="9">
        <v>1123</v>
      </c>
      <c r="H55" s="22">
        <v>256</v>
      </c>
    </row>
    <row r="56" spans="1:8" x14ac:dyDescent="0.3">
      <c r="A56" s="6">
        <v>52</v>
      </c>
      <c r="B56" s="6" t="s">
        <v>59</v>
      </c>
      <c r="C56" s="6" t="s">
        <v>119</v>
      </c>
      <c r="D56" s="6" t="s">
        <v>210</v>
      </c>
      <c r="E56" s="6">
        <v>2014</v>
      </c>
      <c r="F56" s="8">
        <v>4.6900000000000004</v>
      </c>
      <c r="G56" s="9">
        <v>339</v>
      </c>
      <c r="H56" s="22">
        <v>208</v>
      </c>
    </row>
    <row r="57" spans="1:8" x14ac:dyDescent="0.3">
      <c r="A57" s="6">
        <v>53</v>
      </c>
      <c r="B57" s="6" t="s">
        <v>59</v>
      </c>
      <c r="C57" s="6" t="s">
        <v>51</v>
      </c>
      <c r="D57" s="6" t="s">
        <v>211</v>
      </c>
      <c r="E57" s="6">
        <v>2015</v>
      </c>
      <c r="F57" s="8">
        <v>4.28</v>
      </c>
      <c r="G57" s="9">
        <v>2466</v>
      </c>
      <c r="H57" s="22">
        <v>344</v>
      </c>
    </row>
    <row r="58" spans="1:8" x14ac:dyDescent="0.3">
      <c r="A58" s="6">
        <v>54</v>
      </c>
      <c r="B58" s="6" t="s">
        <v>76</v>
      </c>
      <c r="C58" s="6" t="s">
        <v>7</v>
      </c>
      <c r="D58" s="6" t="s">
        <v>169</v>
      </c>
      <c r="E58" s="6">
        <v>2011</v>
      </c>
      <c r="F58" s="8">
        <v>4.45</v>
      </c>
      <c r="G58" s="9">
        <v>956</v>
      </c>
      <c r="H58" s="22">
        <v>284</v>
      </c>
    </row>
    <row r="59" spans="1:8" x14ac:dyDescent="0.3">
      <c r="A59" s="6">
        <v>55</v>
      </c>
      <c r="B59" s="6" t="s">
        <v>76</v>
      </c>
      <c r="C59" s="6" t="s">
        <v>170</v>
      </c>
      <c r="D59" s="6">
        <v>1776</v>
      </c>
      <c r="E59" s="6">
        <v>2005</v>
      </c>
      <c r="F59" s="8">
        <v>4.07</v>
      </c>
      <c r="G59" s="9">
        <v>439</v>
      </c>
      <c r="H59" s="22">
        <v>3030</v>
      </c>
    </row>
    <row r="60" spans="1:8" x14ac:dyDescent="0.3">
      <c r="A60" s="6">
        <v>56</v>
      </c>
      <c r="B60" s="6" t="s">
        <v>76</v>
      </c>
      <c r="C60" s="6" t="s">
        <v>171</v>
      </c>
      <c r="D60" s="6" t="s">
        <v>172</v>
      </c>
      <c r="E60" s="6">
        <v>2003</v>
      </c>
      <c r="F60" s="8">
        <v>3.99</v>
      </c>
      <c r="G60" s="9">
        <v>497</v>
      </c>
      <c r="H60" s="22">
        <v>224</v>
      </c>
    </row>
    <row r="61" spans="1:8" x14ac:dyDescent="0.3">
      <c r="A61" s="6">
        <v>57</v>
      </c>
      <c r="B61" s="6" t="s">
        <v>76</v>
      </c>
      <c r="C61" s="6" t="s">
        <v>173</v>
      </c>
      <c r="D61" s="6" t="s">
        <v>174</v>
      </c>
      <c r="E61" s="6">
        <v>2005</v>
      </c>
      <c r="F61" s="8">
        <v>4.3099999999999996</v>
      </c>
      <c r="G61" s="9">
        <v>2586</v>
      </c>
      <c r="H61" s="22">
        <v>400</v>
      </c>
    </row>
    <row r="62" spans="1:8" x14ac:dyDescent="0.3">
      <c r="A62" s="6">
        <v>58</v>
      </c>
      <c r="B62" s="6" t="s">
        <v>76</v>
      </c>
      <c r="C62" s="6" t="s">
        <v>175</v>
      </c>
      <c r="D62" s="6" t="s">
        <v>176</v>
      </c>
      <c r="E62" s="6">
        <v>1998</v>
      </c>
      <c r="F62" s="8">
        <v>4.2699999999999996</v>
      </c>
      <c r="G62" s="9">
        <v>275</v>
      </c>
      <c r="H62" s="22">
        <v>337</v>
      </c>
    </row>
    <row r="63" spans="1:8" x14ac:dyDescent="0.3">
      <c r="A63" s="6">
        <v>59</v>
      </c>
      <c r="B63" s="6" t="s">
        <v>61</v>
      </c>
      <c r="C63" s="6" t="s">
        <v>28</v>
      </c>
      <c r="D63" s="6" t="s">
        <v>89</v>
      </c>
      <c r="E63" s="6">
        <v>1969</v>
      </c>
      <c r="F63" s="8">
        <v>4.0999999999999996</v>
      </c>
      <c r="G63" s="9">
        <v>448</v>
      </c>
      <c r="H63" s="22">
        <v>512</v>
      </c>
    </row>
    <row r="64" spans="1:8" x14ac:dyDescent="0.3">
      <c r="A64" s="6">
        <v>60</v>
      </c>
      <c r="B64" s="6" t="s">
        <v>61</v>
      </c>
      <c r="C64" s="6" t="s">
        <v>124</v>
      </c>
      <c r="D64" s="6" t="s">
        <v>212</v>
      </c>
      <c r="E64" s="6">
        <v>1979</v>
      </c>
      <c r="F64" s="8">
        <v>4.2</v>
      </c>
      <c r="G64" s="9">
        <v>1374</v>
      </c>
      <c r="H64" s="22">
        <v>444</v>
      </c>
    </row>
    <row r="65" spans="1:8" x14ac:dyDescent="0.3">
      <c r="A65" s="6">
        <v>61</v>
      </c>
      <c r="B65" s="6" t="s">
        <v>61</v>
      </c>
      <c r="C65" s="6" t="s">
        <v>125</v>
      </c>
      <c r="D65" s="6" t="s">
        <v>213</v>
      </c>
      <c r="E65" s="6">
        <v>2011</v>
      </c>
      <c r="F65" s="8">
        <v>4.0999999999999996</v>
      </c>
      <c r="G65" s="9">
        <v>396</v>
      </c>
      <c r="H65" s="22">
        <v>336</v>
      </c>
    </row>
    <row r="66" spans="1:8" x14ac:dyDescent="0.3">
      <c r="A66" s="6">
        <v>62</v>
      </c>
      <c r="B66" s="6" t="s">
        <v>61</v>
      </c>
      <c r="C66" s="6" t="s">
        <v>35</v>
      </c>
      <c r="D66" s="6" t="s">
        <v>214</v>
      </c>
      <c r="E66" s="6">
        <v>2016</v>
      </c>
      <c r="F66" s="8">
        <v>4.5</v>
      </c>
      <c r="G66" s="9">
        <v>346</v>
      </c>
      <c r="H66" s="22">
        <v>430</v>
      </c>
    </row>
    <row r="67" spans="1:8" x14ac:dyDescent="0.3">
      <c r="A67" s="6">
        <v>63</v>
      </c>
      <c r="B67" s="6" t="s">
        <v>64</v>
      </c>
      <c r="C67" s="6" t="s">
        <v>131</v>
      </c>
      <c r="D67" s="6" t="s">
        <v>25</v>
      </c>
      <c r="E67" s="6">
        <v>1951</v>
      </c>
      <c r="F67" s="8">
        <v>4</v>
      </c>
      <c r="G67" s="9">
        <v>823</v>
      </c>
      <c r="H67" s="22">
        <v>699</v>
      </c>
    </row>
    <row r="68" spans="1:8" x14ac:dyDescent="0.3">
      <c r="A68" s="6">
        <v>64</v>
      </c>
      <c r="B68" s="6" t="s">
        <v>64</v>
      </c>
      <c r="C68" s="6" t="s">
        <v>12</v>
      </c>
      <c r="D68" s="6" t="s">
        <v>132</v>
      </c>
      <c r="E68" s="6">
        <v>1960</v>
      </c>
      <c r="F68" s="8">
        <v>4.3</v>
      </c>
      <c r="G68" s="9">
        <v>459</v>
      </c>
      <c r="H68" s="22">
        <v>927</v>
      </c>
    </row>
    <row r="69" spans="1:8" x14ac:dyDescent="0.3">
      <c r="A69" s="6">
        <v>65</v>
      </c>
      <c r="B69" s="6" t="s">
        <v>63</v>
      </c>
      <c r="C69" s="6" t="s">
        <v>10</v>
      </c>
      <c r="D69" s="6" t="s">
        <v>215</v>
      </c>
      <c r="E69" s="6">
        <v>1934</v>
      </c>
      <c r="F69" s="8">
        <v>4.0999999999999996</v>
      </c>
      <c r="G69" s="9">
        <v>259</v>
      </c>
      <c r="H69" s="22">
        <v>1008</v>
      </c>
    </row>
    <row r="70" spans="1:8" x14ac:dyDescent="0.3">
      <c r="A70" s="6">
        <v>66</v>
      </c>
      <c r="B70" s="6" t="s">
        <v>63</v>
      </c>
      <c r="C70" s="6" t="s">
        <v>10</v>
      </c>
      <c r="D70" s="6" t="s">
        <v>11</v>
      </c>
      <c r="E70" s="6">
        <v>1939</v>
      </c>
      <c r="F70" s="8">
        <v>4.3</v>
      </c>
      <c r="G70" s="9">
        <v>215</v>
      </c>
      <c r="H70" s="22">
        <v>192</v>
      </c>
    </row>
    <row r="71" spans="1:8" x14ac:dyDescent="0.3">
      <c r="A71" s="6">
        <v>67</v>
      </c>
      <c r="B71" s="6" t="s">
        <v>63</v>
      </c>
      <c r="C71" s="6" t="s">
        <v>10</v>
      </c>
      <c r="D71" s="6" t="s">
        <v>216</v>
      </c>
      <c r="E71" s="6">
        <v>1926</v>
      </c>
      <c r="F71" s="8">
        <v>4.2</v>
      </c>
      <c r="G71" s="9">
        <v>796</v>
      </c>
      <c r="H71" s="22">
        <v>179</v>
      </c>
    </row>
    <row r="72" spans="1:8" x14ac:dyDescent="0.3">
      <c r="A72" s="6">
        <v>68</v>
      </c>
      <c r="B72" s="6" t="s">
        <v>63</v>
      </c>
      <c r="C72" s="6" t="s">
        <v>127</v>
      </c>
      <c r="D72" s="6" t="s">
        <v>217</v>
      </c>
      <c r="E72" s="6">
        <v>1892</v>
      </c>
      <c r="F72" s="8">
        <v>4.3</v>
      </c>
      <c r="G72" s="9">
        <v>469</v>
      </c>
      <c r="H72" s="22">
        <v>274</v>
      </c>
    </row>
    <row r="73" spans="1:8" x14ac:dyDescent="0.3">
      <c r="A73" s="6">
        <v>69</v>
      </c>
      <c r="B73" s="6" t="s">
        <v>63</v>
      </c>
      <c r="C73" s="6" t="s">
        <v>127</v>
      </c>
      <c r="D73" s="6" t="s">
        <v>218</v>
      </c>
      <c r="E73" s="6">
        <v>1902</v>
      </c>
      <c r="F73" s="8">
        <v>4.2</v>
      </c>
      <c r="G73" s="9">
        <v>149</v>
      </c>
      <c r="H73" s="22">
        <v>304</v>
      </c>
    </row>
    <row r="74" spans="1:8" x14ac:dyDescent="0.3">
      <c r="A74" s="6">
        <v>70</v>
      </c>
      <c r="B74" s="6" t="s">
        <v>63</v>
      </c>
      <c r="C74" s="6" t="s">
        <v>127</v>
      </c>
      <c r="D74" s="6" t="s">
        <v>219</v>
      </c>
      <c r="E74" s="6">
        <v>1887</v>
      </c>
      <c r="F74" s="8">
        <v>4.0999999999999996</v>
      </c>
      <c r="G74" s="9">
        <v>462</v>
      </c>
      <c r="H74" s="22">
        <v>288</v>
      </c>
    </row>
    <row r="75" spans="1:8" x14ac:dyDescent="0.3">
      <c r="A75" s="6">
        <v>71</v>
      </c>
      <c r="B75" s="6" t="s">
        <v>63</v>
      </c>
      <c r="C75" s="6" t="s">
        <v>128</v>
      </c>
      <c r="D75" s="6" t="s">
        <v>220</v>
      </c>
      <c r="E75" s="6">
        <v>1939</v>
      </c>
      <c r="F75" s="8">
        <v>4.0999999999999996</v>
      </c>
      <c r="G75" s="9">
        <v>256</v>
      </c>
      <c r="H75" s="22">
        <v>224</v>
      </c>
    </row>
    <row r="76" spans="1:8" x14ac:dyDescent="0.3">
      <c r="A76" s="6">
        <v>72</v>
      </c>
      <c r="B76" s="6" t="s">
        <v>63</v>
      </c>
      <c r="C76" s="6" t="s">
        <v>128</v>
      </c>
      <c r="D76" s="6" t="s">
        <v>221</v>
      </c>
      <c r="E76" s="6">
        <v>1940</v>
      </c>
      <c r="F76" s="8">
        <v>4.0999999999999996</v>
      </c>
      <c r="G76" s="9">
        <v>1000</v>
      </c>
      <c r="H76" s="22">
        <v>272</v>
      </c>
    </row>
    <row r="77" spans="1:8" x14ac:dyDescent="0.3">
      <c r="A77" s="6">
        <v>73</v>
      </c>
      <c r="B77" s="6" t="s">
        <v>63</v>
      </c>
      <c r="C77" s="6" t="s">
        <v>128</v>
      </c>
      <c r="D77" s="6" t="s">
        <v>222</v>
      </c>
      <c r="E77" s="6">
        <v>1953</v>
      </c>
      <c r="F77" s="8">
        <v>4.2</v>
      </c>
      <c r="G77" s="9">
        <v>1229</v>
      </c>
      <c r="H77" s="22">
        <v>256</v>
      </c>
    </row>
    <row r="78" spans="1:8" x14ac:dyDescent="0.3">
      <c r="A78" s="6">
        <v>74</v>
      </c>
      <c r="B78" s="6" t="s">
        <v>63</v>
      </c>
      <c r="C78" s="6" t="s">
        <v>20</v>
      </c>
      <c r="D78" s="6" t="s">
        <v>223</v>
      </c>
      <c r="E78" s="6">
        <v>2012</v>
      </c>
      <c r="F78" s="8">
        <v>4</v>
      </c>
      <c r="G78" s="9">
        <v>256</v>
      </c>
      <c r="H78" s="22">
        <v>256</v>
      </c>
    </row>
    <row r="79" spans="1:8" x14ac:dyDescent="0.3">
      <c r="A79" s="6">
        <v>75</v>
      </c>
      <c r="B79" s="6" t="s">
        <v>63</v>
      </c>
      <c r="C79" s="6" t="s">
        <v>20</v>
      </c>
      <c r="D79" s="6" t="s">
        <v>19</v>
      </c>
      <c r="E79" s="6">
        <v>2006</v>
      </c>
      <c r="F79" s="8">
        <v>3.9</v>
      </c>
      <c r="G79" s="9">
        <v>499</v>
      </c>
      <c r="H79" s="22">
        <v>336</v>
      </c>
    </row>
    <row r="80" spans="1:8" x14ac:dyDescent="0.3">
      <c r="A80" s="6">
        <v>76</v>
      </c>
      <c r="B80" s="6" t="s">
        <v>63</v>
      </c>
      <c r="C80" s="6" t="s">
        <v>20</v>
      </c>
      <c r="D80" s="6" t="s">
        <v>224</v>
      </c>
      <c r="E80" s="6">
        <v>2009</v>
      </c>
      <c r="F80" s="8">
        <v>3.8</v>
      </c>
      <c r="G80" s="9">
        <v>1144</v>
      </c>
      <c r="H80" s="22">
        <v>192</v>
      </c>
    </row>
    <row r="81" spans="1:8" x14ac:dyDescent="0.3">
      <c r="A81" s="6">
        <v>77</v>
      </c>
      <c r="B81" s="6" t="s">
        <v>63</v>
      </c>
      <c r="C81" s="6" t="s">
        <v>49</v>
      </c>
      <c r="D81" s="6" t="s">
        <v>225</v>
      </c>
      <c r="E81" s="6">
        <v>2007</v>
      </c>
      <c r="F81" s="8">
        <v>3.8</v>
      </c>
      <c r="G81" s="9">
        <v>696</v>
      </c>
      <c r="H81" s="22">
        <v>184</v>
      </c>
    </row>
    <row r="82" spans="1:8" x14ac:dyDescent="0.3">
      <c r="A82" s="6">
        <v>78</v>
      </c>
      <c r="B82" s="6" t="s">
        <v>63</v>
      </c>
      <c r="C82" s="6" t="s">
        <v>49</v>
      </c>
      <c r="D82" s="6" t="s">
        <v>226</v>
      </c>
      <c r="E82" s="6">
        <v>2008</v>
      </c>
      <c r="F82" s="8">
        <v>4.0999999999999996</v>
      </c>
      <c r="G82" s="9">
        <v>653</v>
      </c>
      <c r="H82" s="22">
        <v>143</v>
      </c>
    </row>
    <row r="83" spans="1:8" x14ac:dyDescent="0.3">
      <c r="A83" s="6">
        <v>79</v>
      </c>
      <c r="B83" s="6" t="s">
        <v>63</v>
      </c>
      <c r="C83" s="6" t="s">
        <v>49</v>
      </c>
      <c r="D83" s="6" t="s">
        <v>227</v>
      </c>
      <c r="E83" s="6">
        <v>2010</v>
      </c>
      <c r="F83" s="8">
        <v>4</v>
      </c>
      <c r="G83" s="9">
        <v>594</v>
      </c>
      <c r="H83" s="22">
        <v>250</v>
      </c>
    </row>
    <row r="84" spans="1:8" x14ac:dyDescent="0.3">
      <c r="A84" s="6">
        <v>80</v>
      </c>
      <c r="B84" s="6" t="s">
        <v>63</v>
      </c>
      <c r="C84" s="6" t="s">
        <v>23</v>
      </c>
      <c r="D84" s="6" t="s">
        <v>91</v>
      </c>
      <c r="E84" s="6">
        <v>2005</v>
      </c>
      <c r="F84" s="8">
        <v>4.0999999999999996</v>
      </c>
      <c r="G84" s="9">
        <v>699</v>
      </c>
      <c r="H84" s="22">
        <v>192</v>
      </c>
    </row>
    <row r="85" spans="1:8" x14ac:dyDescent="0.3">
      <c r="A85" s="6">
        <v>81</v>
      </c>
      <c r="B85" s="6" t="s">
        <v>63</v>
      </c>
      <c r="C85" s="6" t="s">
        <v>23</v>
      </c>
      <c r="D85" s="6" t="s">
        <v>228</v>
      </c>
      <c r="E85" s="6">
        <v>2006</v>
      </c>
      <c r="F85" s="8">
        <v>4.2</v>
      </c>
      <c r="G85" s="9">
        <v>294</v>
      </c>
      <c r="H85" s="22">
        <v>288</v>
      </c>
    </row>
    <row r="86" spans="1:8" x14ac:dyDescent="0.3">
      <c r="A86" s="6">
        <v>82</v>
      </c>
      <c r="B86" s="6" t="s">
        <v>63</v>
      </c>
      <c r="C86" s="6" t="s">
        <v>23</v>
      </c>
      <c r="D86" s="6" t="s">
        <v>229</v>
      </c>
      <c r="E86" s="6">
        <v>2007</v>
      </c>
      <c r="F86" s="8">
        <v>4.0999999999999996</v>
      </c>
      <c r="G86" s="9">
        <v>350</v>
      </c>
      <c r="H86" s="22">
        <v>416</v>
      </c>
    </row>
    <row r="87" spans="1:8" x14ac:dyDescent="0.3">
      <c r="A87" s="6">
        <v>83</v>
      </c>
      <c r="B87" s="6" t="s">
        <v>63</v>
      </c>
      <c r="C87" s="6" t="s">
        <v>180</v>
      </c>
      <c r="D87" s="6" t="s">
        <v>230</v>
      </c>
      <c r="E87" s="6">
        <v>2015</v>
      </c>
      <c r="F87" s="8">
        <v>3.8</v>
      </c>
      <c r="G87" s="9">
        <v>364</v>
      </c>
      <c r="H87" s="22">
        <v>254</v>
      </c>
    </row>
    <row r="88" spans="1:8" x14ac:dyDescent="0.3">
      <c r="A88" s="6">
        <v>84</v>
      </c>
      <c r="B88" s="6" t="s">
        <v>63</v>
      </c>
      <c r="C88" s="6" t="s">
        <v>180</v>
      </c>
      <c r="D88" s="6" t="s">
        <v>231</v>
      </c>
      <c r="E88" s="6">
        <v>2017</v>
      </c>
      <c r="F88" s="8">
        <v>3.6</v>
      </c>
      <c r="G88" s="9">
        <v>349</v>
      </c>
      <c r="H88" s="22">
        <v>338</v>
      </c>
    </row>
    <row r="89" spans="1:8" x14ac:dyDescent="0.3">
      <c r="A89" s="6">
        <v>85</v>
      </c>
      <c r="B89" s="6" t="s">
        <v>63</v>
      </c>
      <c r="C89" s="6" t="s">
        <v>180</v>
      </c>
      <c r="D89" s="6" t="s">
        <v>232</v>
      </c>
      <c r="E89" s="6">
        <v>2021</v>
      </c>
      <c r="F89" s="8">
        <v>3.7</v>
      </c>
      <c r="G89" s="9">
        <v>309</v>
      </c>
      <c r="H89" s="22">
        <v>448</v>
      </c>
    </row>
    <row r="90" spans="1:8" x14ac:dyDescent="0.3">
      <c r="A90" s="6">
        <v>86</v>
      </c>
      <c r="B90" s="6" t="s">
        <v>65</v>
      </c>
      <c r="C90" s="6" t="s">
        <v>7</v>
      </c>
      <c r="D90" s="6" t="s">
        <v>15</v>
      </c>
      <c r="E90" s="6">
        <v>2011</v>
      </c>
      <c r="F90" s="8">
        <v>4.5</v>
      </c>
      <c r="G90" s="9">
        <v>309</v>
      </c>
      <c r="H90" s="22">
        <v>496</v>
      </c>
    </row>
    <row r="91" spans="1:8" x14ac:dyDescent="0.3">
      <c r="A91" s="6">
        <v>87</v>
      </c>
      <c r="B91" s="6" t="s">
        <v>65</v>
      </c>
      <c r="C91" s="6" t="s">
        <v>7</v>
      </c>
      <c r="D91" s="6" t="s">
        <v>6</v>
      </c>
      <c r="E91" s="6">
        <v>2015</v>
      </c>
      <c r="F91" s="8">
        <v>4.4000000000000004</v>
      </c>
      <c r="G91" s="9">
        <v>337</v>
      </c>
      <c r="H91" s="22">
        <v>464</v>
      </c>
    </row>
    <row r="92" spans="1:8" x14ac:dyDescent="0.3">
      <c r="A92" s="6">
        <v>88</v>
      </c>
      <c r="B92" s="6" t="s">
        <v>65</v>
      </c>
      <c r="C92" s="6" t="s">
        <v>7</v>
      </c>
      <c r="D92" s="6" t="s">
        <v>233</v>
      </c>
      <c r="E92" s="6">
        <v>2018</v>
      </c>
      <c r="F92" s="8">
        <v>4.3</v>
      </c>
      <c r="G92" s="9">
        <v>374</v>
      </c>
      <c r="H92" s="22">
        <v>320</v>
      </c>
    </row>
    <row r="93" spans="1:8" x14ac:dyDescent="0.3">
      <c r="A93" s="6">
        <v>89</v>
      </c>
      <c r="B93" s="6" t="s">
        <v>65</v>
      </c>
      <c r="C93" s="6" t="s">
        <v>57</v>
      </c>
      <c r="D93" s="6" t="s">
        <v>56</v>
      </c>
      <c r="E93" s="6">
        <v>2010</v>
      </c>
      <c r="F93" s="8">
        <v>4.5999999999999996</v>
      </c>
      <c r="G93" s="9">
        <v>609</v>
      </c>
      <c r="H93" s="22">
        <v>465</v>
      </c>
    </row>
    <row r="94" spans="1:8" x14ac:dyDescent="0.3">
      <c r="A94" s="6">
        <v>90</v>
      </c>
      <c r="B94" s="6" t="s">
        <v>65</v>
      </c>
      <c r="C94" s="6" t="s">
        <v>57</v>
      </c>
      <c r="D94" s="6" t="s">
        <v>234</v>
      </c>
      <c r="E94" s="6">
        <v>2020</v>
      </c>
      <c r="F94" s="8">
        <v>4.4000000000000004</v>
      </c>
      <c r="G94" s="9">
        <v>382</v>
      </c>
      <c r="H94" s="22">
        <v>672</v>
      </c>
    </row>
    <row r="95" spans="1:8" x14ac:dyDescent="0.3">
      <c r="A95" s="6">
        <v>91</v>
      </c>
      <c r="B95" s="6" t="s">
        <v>75</v>
      </c>
      <c r="C95" s="6" t="s">
        <v>40</v>
      </c>
      <c r="D95" s="6" t="s">
        <v>164</v>
      </c>
      <c r="E95" s="6">
        <v>1997</v>
      </c>
      <c r="F95" s="8">
        <v>4.1399999999999997</v>
      </c>
      <c r="G95" s="9">
        <v>499</v>
      </c>
      <c r="H95" s="22">
        <v>644</v>
      </c>
    </row>
    <row r="96" spans="1:8" x14ac:dyDescent="0.3">
      <c r="A96" s="6">
        <v>92</v>
      </c>
      <c r="B96" s="6" t="s">
        <v>75</v>
      </c>
      <c r="C96" s="6" t="s">
        <v>108</v>
      </c>
      <c r="D96" s="6" t="s">
        <v>5</v>
      </c>
      <c r="E96" s="6">
        <v>1952</v>
      </c>
      <c r="F96" s="8">
        <v>4.33</v>
      </c>
      <c r="G96" s="9">
        <v>1212</v>
      </c>
      <c r="H96" s="22">
        <v>336</v>
      </c>
    </row>
    <row r="97" spans="1:8" x14ac:dyDescent="0.3">
      <c r="A97" s="6">
        <v>93</v>
      </c>
      <c r="B97" s="6" t="s">
        <v>75</v>
      </c>
      <c r="C97" s="6" t="s">
        <v>24</v>
      </c>
      <c r="D97" s="6" t="s">
        <v>165</v>
      </c>
      <c r="E97" s="6">
        <v>2002</v>
      </c>
      <c r="F97" s="8">
        <v>3.92</v>
      </c>
      <c r="G97" s="9">
        <v>358</v>
      </c>
      <c r="H97" s="22">
        <v>448</v>
      </c>
    </row>
    <row r="98" spans="1:8" x14ac:dyDescent="0.3">
      <c r="A98" s="6">
        <v>94</v>
      </c>
      <c r="B98" s="6" t="s">
        <v>75</v>
      </c>
      <c r="C98" s="6" t="s">
        <v>166</v>
      </c>
      <c r="D98" s="6" t="s">
        <v>167</v>
      </c>
      <c r="E98" s="6">
        <v>1998</v>
      </c>
      <c r="F98" s="8">
        <v>4.1500000000000004</v>
      </c>
      <c r="G98" s="9">
        <v>263</v>
      </c>
      <c r="H98" s="22">
        <v>284</v>
      </c>
    </row>
    <row r="99" spans="1:8" x14ac:dyDescent="0.3">
      <c r="A99" s="6">
        <v>95</v>
      </c>
      <c r="B99" s="6" t="s">
        <v>75</v>
      </c>
      <c r="C99" s="6" t="s">
        <v>55</v>
      </c>
      <c r="D99" s="6" t="s">
        <v>168</v>
      </c>
      <c r="E99" s="6">
        <v>2006</v>
      </c>
      <c r="F99" s="8">
        <v>3.55</v>
      </c>
      <c r="G99" s="9">
        <v>331</v>
      </c>
      <c r="H99" s="22">
        <v>466</v>
      </c>
    </row>
    <row r="100" spans="1:8" x14ac:dyDescent="0.3">
      <c r="A100" s="6">
        <v>96</v>
      </c>
      <c r="B100" s="6" t="s">
        <v>72</v>
      </c>
      <c r="C100" s="6" t="s">
        <v>52</v>
      </c>
      <c r="D100" s="6" t="s">
        <v>147</v>
      </c>
      <c r="E100" s="6">
        <v>1996</v>
      </c>
      <c r="F100" s="8">
        <v>4.07</v>
      </c>
      <c r="G100" s="9">
        <v>283</v>
      </c>
      <c r="H100" s="22">
        <v>400</v>
      </c>
    </row>
    <row r="101" spans="1:8" x14ac:dyDescent="0.3">
      <c r="A101" s="6">
        <v>97</v>
      </c>
      <c r="B101" s="6" t="s">
        <v>72</v>
      </c>
      <c r="C101" s="6" t="s">
        <v>14</v>
      </c>
      <c r="D101" s="6" t="s">
        <v>88</v>
      </c>
      <c r="E101" s="6">
        <v>1813</v>
      </c>
      <c r="F101" s="8">
        <v>4.26</v>
      </c>
      <c r="G101" s="9">
        <v>382</v>
      </c>
      <c r="H101" s="22">
        <v>400</v>
      </c>
    </row>
    <row r="102" spans="1:8" x14ac:dyDescent="0.3">
      <c r="A102" s="6">
        <v>98</v>
      </c>
      <c r="B102" s="6" t="s">
        <v>72</v>
      </c>
      <c r="C102" s="6" t="s">
        <v>34</v>
      </c>
      <c r="D102" s="6" t="s">
        <v>148</v>
      </c>
      <c r="E102" s="6">
        <v>2012</v>
      </c>
      <c r="F102" s="8">
        <v>4.2699999999999996</v>
      </c>
      <c r="G102" s="9">
        <v>318</v>
      </c>
      <c r="H102" s="22">
        <v>256</v>
      </c>
    </row>
    <row r="103" spans="1:8" x14ac:dyDescent="0.3">
      <c r="A103" s="6">
        <v>99</v>
      </c>
      <c r="B103" s="6" t="s">
        <v>72</v>
      </c>
      <c r="C103" s="6" t="s">
        <v>53</v>
      </c>
      <c r="D103" s="6" t="s">
        <v>149</v>
      </c>
      <c r="E103" s="6">
        <v>2016</v>
      </c>
      <c r="F103" s="8">
        <v>4.41</v>
      </c>
      <c r="G103" s="9">
        <v>215</v>
      </c>
      <c r="H103" s="22">
        <v>432</v>
      </c>
    </row>
    <row r="104" spans="1:8" x14ac:dyDescent="0.3">
      <c r="A104" s="6">
        <v>100</v>
      </c>
      <c r="B104" s="6" t="s">
        <v>68</v>
      </c>
      <c r="C104" s="6" t="s">
        <v>44</v>
      </c>
      <c r="D104" s="6" t="s">
        <v>43</v>
      </c>
      <c r="E104" s="6">
        <v>1988</v>
      </c>
      <c r="F104" s="8">
        <v>4.2</v>
      </c>
      <c r="G104" s="9">
        <v>1172</v>
      </c>
      <c r="H104" s="22">
        <v>144</v>
      </c>
    </row>
    <row r="105" spans="1:8" x14ac:dyDescent="0.3">
      <c r="A105" s="6">
        <v>101</v>
      </c>
      <c r="B105" s="6" t="s">
        <v>68</v>
      </c>
      <c r="C105" s="6" t="s">
        <v>133</v>
      </c>
      <c r="D105" s="6" t="s">
        <v>134</v>
      </c>
      <c r="E105" s="6">
        <v>1976</v>
      </c>
      <c r="F105" s="8">
        <v>4.0999999999999996</v>
      </c>
      <c r="G105" s="9">
        <v>529</v>
      </c>
      <c r="H105" s="22">
        <v>256</v>
      </c>
    </row>
    <row r="106" spans="1:8" x14ac:dyDescent="0.3">
      <c r="A106" s="6">
        <v>102</v>
      </c>
      <c r="B106" s="6" t="s">
        <v>68</v>
      </c>
      <c r="C106" s="6" t="s">
        <v>30</v>
      </c>
      <c r="D106" s="6" t="s">
        <v>135</v>
      </c>
      <c r="E106" s="6">
        <v>2017</v>
      </c>
      <c r="F106" s="8">
        <v>4.5</v>
      </c>
      <c r="G106" s="9">
        <v>470</v>
      </c>
      <c r="H106" s="22">
        <v>272</v>
      </c>
    </row>
    <row r="107" spans="1:8" x14ac:dyDescent="0.3">
      <c r="A107" s="6">
        <v>103</v>
      </c>
      <c r="B107" s="6" t="s">
        <v>70</v>
      </c>
      <c r="C107" s="6" t="s">
        <v>26</v>
      </c>
      <c r="D107" s="6" t="s">
        <v>140</v>
      </c>
      <c r="E107" s="6">
        <v>1954</v>
      </c>
      <c r="F107" s="8">
        <v>4.5</v>
      </c>
      <c r="G107" s="9">
        <v>1294</v>
      </c>
      <c r="H107" s="22">
        <v>176</v>
      </c>
    </row>
    <row r="108" spans="1:8" x14ac:dyDescent="0.3">
      <c r="A108" s="6">
        <v>104</v>
      </c>
      <c r="B108" s="6" t="s">
        <v>70</v>
      </c>
      <c r="C108" s="6" t="s">
        <v>141</v>
      </c>
      <c r="D108" s="6" t="s">
        <v>142</v>
      </c>
      <c r="E108" s="6">
        <v>1996</v>
      </c>
      <c r="F108" s="8">
        <v>4.4000000000000004</v>
      </c>
      <c r="G108" s="9">
        <v>2639</v>
      </c>
      <c r="H108" s="22">
        <v>352</v>
      </c>
    </row>
    <row r="109" spans="1:8" x14ac:dyDescent="0.3">
      <c r="A109" s="6">
        <v>105</v>
      </c>
      <c r="B109" s="6" t="s">
        <v>70</v>
      </c>
      <c r="C109" s="6" t="s">
        <v>143</v>
      </c>
      <c r="D109" s="6" t="s">
        <v>144</v>
      </c>
      <c r="E109" s="6">
        <v>1968</v>
      </c>
      <c r="F109" s="8">
        <v>4</v>
      </c>
      <c r="G109" s="9">
        <v>244</v>
      </c>
      <c r="H109" s="22">
        <v>224</v>
      </c>
    </row>
    <row r="110" spans="1:8" x14ac:dyDescent="0.3">
      <c r="A110" s="6">
        <v>106</v>
      </c>
      <c r="B110" s="6" t="s">
        <v>77</v>
      </c>
      <c r="C110" s="6" t="s">
        <v>41</v>
      </c>
      <c r="D110" s="6" t="s">
        <v>186</v>
      </c>
      <c r="E110" s="6">
        <v>1936</v>
      </c>
      <c r="F110" s="8">
        <v>4.24</v>
      </c>
      <c r="G110" s="9">
        <v>179</v>
      </c>
      <c r="H110" s="22">
        <v>279</v>
      </c>
    </row>
    <row r="111" spans="1:8" x14ac:dyDescent="0.3">
      <c r="A111" s="6">
        <v>107</v>
      </c>
      <c r="B111" s="6" t="s">
        <v>77</v>
      </c>
      <c r="C111" s="6" t="s">
        <v>37</v>
      </c>
      <c r="D111" s="6" t="s">
        <v>235</v>
      </c>
      <c r="E111" s="6">
        <v>2010</v>
      </c>
      <c r="F111" s="8">
        <v>4.1500000000000004</v>
      </c>
      <c r="G111" s="9">
        <v>503</v>
      </c>
      <c r="H111" s="22">
        <v>352</v>
      </c>
    </row>
    <row r="112" spans="1:8" x14ac:dyDescent="0.3">
      <c r="A112" s="6">
        <v>108</v>
      </c>
      <c r="B112" s="6" t="s">
        <v>77</v>
      </c>
      <c r="C112" s="6" t="s">
        <v>40</v>
      </c>
      <c r="D112" s="6" t="s">
        <v>164</v>
      </c>
      <c r="E112" s="6">
        <v>1997</v>
      </c>
      <c r="F112" s="8">
        <v>4.13</v>
      </c>
      <c r="G112" s="9">
        <v>499</v>
      </c>
      <c r="H112" s="22">
        <v>336</v>
      </c>
    </row>
    <row r="113" spans="1:8" x14ac:dyDescent="0.3">
      <c r="A113" s="6">
        <v>109</v>
      </c>
      <c r="B113" s="6" t="s">
        <v>77</v>
      </c>
      <c r="C113" s="6" t="s">
        <v>50</v>
      </c>
      <c r="D113" s="6" t="s">
        <v>236</v>
      </c>
      <c r="E113" s="6">
        <v>2012</v>
      </c>
      <c r="F113" s="8">
        <v>4.08</v>
      </c>
      <c r="G113" s="9">
        <v>733</v>
      </c>
      <c r="H113" s="22">
        <v>192</v>
      </c>
    </row>
    <row r="114" spans="1:8" x14ac:dyDescent="0.3">
      <c r="A114" s="6">
        <v>110</v>
      </c>
      <c r="B114" s="6" t="s">
        <v>77</v>
      </c>
      <c r="C114" s="6" t="s">
        <v>145</v>
      </c>
      <c r="D114" s="6" t="s">
        <v>150</v>
      </c>
      <c r="E114" s="6">
        <v>2018</v>
      </c>
      <c r="F114" s="8">
        <v>4.53</v>
      </c>
      <c r="G114" s="9">
        <v>431</v>
      </c>
      <c r="H114" s="22">
        <v>320</v>
      </c>
    </row>
    <row r="115" spans="1:8" x14ac:dyDescent="0.3">
      <c r="A115" s="6">
        <v>111</v>
      </c>
      <c r="B115" s="6" t="s">
        <v>71</v>
      </c>
      <c r="C115" s="6" t="s">
        <v>16</v>
      </c>
      <c r="D115" s="6" t="s">
        <v>17</v>
      </c>
      <c r="E115" s="6">
        <v>2012</v>
      </c>
      <c r="F115" s="8">
        <v>4.3</v>
      </c>
      <c r="G115" s="9">
        <v>238</v>
      </c>
      <c r="H115" s="22">
        <v>208</v>
      </c>
    </row>
    <row r="116" spans="1:8" x14ac:dyDescent="0.3">
      <c r="A116" s="6">
        <v>112</v>
      </c>
      <c r="B116" s="6" t="s">
        <v>71</v>
      </c>
      <c r="C116" s="6" t="s">
        <v>39</v>
      </c>
      <c r="D116" s="6" t="s">
        <v>38</v>
      </c>
      <c r="E116" s="6">
        <v>2008</v>
      </c>
      <c r="F116" s="8">
        <v>4.3</v>
      </c>
      <c r="G116" s="9">
        <v>282</v>
      </c>
      <c r="H116" s="22">
        <v>423</v>
      </c>
    </row>
    <row r="117" spans="1:8" x14ac:dyDescent="0.3">
      <c r="A117" s="6">
        <v>113</v>
      </c>
      <c r="B117" s="6" t="s">
        <v>71</v>
      </c>
      <c r="C117" s="6" t="s">
        <v>9</v>
      </c>
      <c r="D117" s="6" t="s">
        <v>8</v>
      </c>
      <c r="E117" s="6">
        <v>2011</v>
      </c>
      <c r="F117" s="8">
        <v>4.0999999999999996</v>
      </c>
      <c r="G117" s="9">
        <v>324</v>
      </c>
      <c r="H117" s="22">
        <v>864</v>
      </c>
    </row>
    <row r="118" spans="1:8" x14ac:dyDescent="0.3">
      <c r="A118" s="6">
        <v>114</v>
      </c>
      <c r="B118" s="6" t="s">
        <v>67</v>
      </c>
      <c r="C118" s="6" t="s">
        <v>29</v>
      </c>
      <c r="D118" s="6" t="s">
        <v>237</v>
      </c>
      <c r="E118" s="6">
        <v>1995</v>
      </c>
      <c r="F118" s="8">
        <v>4.0999999999999996</v>
      </c>
      <c r="G118" s="9">
        <v>423</v>
      </c>
      <c r="H118" s="22">
        <v>224</v>
      </c>
    </row>
    <row r="119" spans="1:8" x14ac:dyDescent="0.3">
      <c r="A119" s="6">
        <v>115</v>
      </c>
      <c r="B119" s="6" t="s">
        <v>67</v>
      </c>
      <c r="C119" s="6" t="s">
        <v>29</v>
      </c>
      <c r="D119" s="6" t="s">
        <v>238</v>
      </c>
      <c r="E119" s="6">
        <v>1998</v>
      </c>
      <c r="F119" s="8">
        <v>4.0999999999999996</v>
      </c>
      <c r="G119" s="9">
        <v>103</v>
      </c>
      <c r="H119" s="22">
        <v>224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7163-31A6-4A81-9C0A-C722949B04DE}">
  <sheetPr codeName="Sheet2"/>
  <dimension ref="A2:S61"/>
  <sheetViews>
    <sheetView zoomScale="80" zoomScaleNormal="80" workbookViewId="0">
      <selection activeCell="K28" sqref="K28"/>
    </sheetView>
  </sheetViews>
  <sheetFormatPr defaultRowHeight="14.95" x14ac:dyDescent="0.3"/>
  <cols>
    <col min="1" max="1" width="36.875" style="1" bestFit="1" customWidth="1"/>
    <col min="2" max="2" width="21.125" style="1" bestFit="1" customWidth="1"/>
    <col min="3" max="3" width="9" style="1"/>
    <col min="4" max="4" width="21.125" style="1" bestFit="1" customWidth="1"/>
    <col min="5" max="5" width="9" style="1"/>
    <col min="6" max="6" width="15.5" style="1" customWidth="1"/>
    <col min="7" max="7" width="18" style="1" customWidth="1"/>
    <col min="8" max="9" width="9" style="1"/>
    <col min="10" max="10" width="16.375" style="1" bestFit="1" customWidth="1"/>
    <col min="11" max="11" width="31.75" style="1" bestFit="1" customWidth="1"/>
    <col min="12" max="12" width="16.25" style="1" bestFit="1" customWidth="1"/>
    <col min="13" max="13" width="9" style="1"/>
    <col min="14" max="14" width="16" style="1" bestFit="1" customWidth="1"/>
    <col min="15" max="15" width="34.375" style="1" bestFit="1" customWidth="1"/>
    <col min="16" max="16" width="31.75" style="1" bestFit="1" customWidth="1"/>
    <col min="17" max="17" width="9" style="1"/>
    <col min="18" max="18" width="34.375" style="1" bestFit="1" customWidth="1"/>
    <col min="19" max="19" width="14.375" style="1" bestFit="1" customWidth="1"/>
    <col min="20" max="16384" width="9" style="1"/>
  </cols>
  <sheetData>
    <row r="2" spans="1:19" x14ac:dyDescent="0.3">
      <c r="A2" s="2" t="s">
        <v>126</v>
      </c>
      <c r="B2" s="2" t="s">
        <v>92</v>
      </c>
      <c r="D2" s="2" t="s">
        <v>83</v>
      </c>
      <c r="F2" s="2" t="s">
        <v>93</v>
      </c>
      <c r="G2" s="2" t="s">
        <v>94</v>
      </c>
    </row>
    <row r="3" spans="1:19" x14ac:dyDescent="0.3">
      <c r="A3" s="1" t="s">
        <v>60</v>
      </c>
      <c r="B3" s="1">
        <f>COUNTIF(book_db[Category],Count_of_books_per_category_tb[[#This Row],[Category]])</f>
        <v>4</v>
      </c>
      <c r="D3" s="1" t="s">
        <v>84</v>
      </c>
      <c r="F3" s="1" t="s">
        <v>95</v>
      </c>
      <c r="G3" s="1">
        <v>1</v>
      </c>
    </row>
    <row r="4" spans="1:19" x14ac:dyDescent="0.3">
      <c r="A4" s="1" t="s">
        <v>73</v>
      </c>
      <c r="B4" s="1">
        <f>COUNTIF(book_db[Category],Count_of_books_per_category_tb[[#This Row],[Category]])</f>
        <v>5</v>
      </c>
      <c r="D4" s="1" t="s">
        <v>85</v>
      </c>
      <c r="F4" s="1" t="s">
        <v>96</v>
      </c>
      <c r="G4" s="1">
        <v>2</v>
      </c>
      <c r="J4" s="54" t="s">
        <v>262</v>
      </c>
      <c r="K4" s="54"/>
      <c r="L4" s="54"/>
      <c r="N4" s="54" t="s">
        <v>243</v>
      </c>
      <c r="O4" s="54"/>
      <c r="P4" s="54"/>
    </row>
    <row r="5" spans="1:19" x14ac:dyDescent="0.3">
      <c r="A5" s="1" t="s">
        <v>78</v>
      </c>
      <c r="B5" s="1">
        <f>COUNTIF(book_db[Category],Count_of_books_per_category_tb[[#This Row],[Category]])</f>
        <v>5</v>
      </c>
      <c r="D5" s="1" t="s">
        <v>87</v>
      </c>
      <c r="F5" s="1" t="s">
        <v>97</v>
      </c>
      <c r="G5" s="1">
        <v>3</v>
      </c>
      <c r="J5" s="11" t="s">
        <v>247</v>
      </c>
      <c r="K5" s="1" t="s">
        <v>248</v>
      </c>
      <c r="L5" s="1" t="s">
        <v>245</v>
      </c>
      <c r="N5" s="11" t="s">
        <v>247</v>
      </c>
      <c r="O5" s="11" t="s">
        <v>126</v>
      </c>
      <c r="P5" s="1" t="s">
        <v>248</v>
      </c>
      <c r="R5" s="55" t="s">
        <v>264</v>
      </c>
      <c r="S5" s="55"/>
    </row>
    <row r="6" spans="1:19" x14ac:dyDescent="0.3">
      <c r="A6" s="1" t="s">
        <v>62</v>
      </c>
      <c r="B6" s="1">
        <f>COUNTIF(book_db[Category],Count_of_books_per_category_tb[[#This Row],[Category]])</f>
        <v>15</v>
      </c>
      <c r="F6" s="1" t="s">
        <v>98</v>
      </c>
      <c r="G6" s="1">
        <v>4</v>
      </c>
      <c r="J6" s="1" t="s">
        <v>95</v>
      </c>
      <c r="K6" s="1">
        <v>4</v>
      </c>
      <c r="L6" s="1">
        <v>1889</v>
      </c>
      <c r="N6" s="1" t="s">
        <v>95</v>
      </c>
      <c r="O6" s="1" t="s">
        <v>72</v>
      </c>
      <c r="P6" s="1">
        <v>2</v>
      </c>
      <c r="R6" s="2" t="s">
        <v>126</v>
      </c>
      <c r="S6" s="2" t="s">
        <v>265</v>
      </c>
    </row>
    <row r="7" spans="1:19" x14ac:dyDescent="0.3">
      <c r="A7" s="1" t="s">
        <v>69</v>
      </c>
      <c r="B7" s="1">
        <f>COUNTIF(book_db[Category],Count_of_books_per_category_tb[[#This Row],[Category]])</f>
        <v>3</v>
      </c>
      <c r="F7" s="1" t="s">
        <v>99</v>
      </c>
      <c r="G7" s="1">
        <v>5</v>
      </c>
      <c r="J7" s="1" t="s">
        <v>96</v>
      </c>
      <c r="K7" s="1">
        <v>3</v>
      </c>
      <c r="L7" s="1">
        <v>1147</v>
      </c>
      <c r="N7" s="1" t="s">
        <v>249</v>
      </c>
      <c r="P7" s="1">
        <v>2</v>
      </c>
      <c r="R7" s="12" t="s">
        <v>60</v>
      </c>
      <c r="S7" s="13">
        <f>COUNTIFS(book_reading_tb[Month_name],Dashboard!$B$6,book_reading_tb[Category],R7)</f>
        <v>0</v>
      </c>
    </row>
    <row r="8" spans="1:19" x14ac:dyDescent="0.3">
      <c r="A8" s="1" t="s">
        <v>74</v>
      </c>
      <c r="B8" s="1">
        <f>COUNTIF(book_db[Category],Count_of_books_per_category_tb[[#This Row],[Category]])</f>
        <v>5</v>
      </c>
      <c r="F8" s="1" t="s">
        <v>100</v>
      </c>
      <c r="G8" s="1">
        <v>6</v>
      </c>
      <c r="J8" s="1" t="s">
        <v>97</v>
      </c>
      <c r="K8" s="1">
        <v>4</v>
      </c>
      <c r="L8" s="1">
        <v>1992</v>
      </c>
      <c r="N8" s="1" t="s">
        <v>96</v>
      </c>
      <c r="O8" s="1" t="s">
        <v>73</v>
      </c>
      <c r="P8" s="1">
        <v>2</v>
      </c>
      <c r="R8" s="12" t="s">
        <v>73</v>
      </c>
      <c r="S8" s="13">
        <f>COUNTIFS(book_reading_tb[Month_name],Dashboard!$B$6,book_reading_tb[Category],R8)</f>
        <v>0</v>
      </c>
    </row>
    <row r="9" spans="1:19" x14ac:dyDescent="0.3">
      <c r="A9" s="1" t="s">
        <v>66</v>
      </c>
      <c r="B9" s="1">
        <f>COUNTIF(book_db[Category],Count_of_books_per_category_tb[[#This Row],[Category]])</f>
        <v>6</v>
      </c>
      <c r="F9" s="1" t="s">
        <v>101</v>
      </c>
      <c r="G9" s="1">
        <v>7</v>
      </c>
      <c r="J9" s="1" t="s">
        <v>98</v>
      </c>
      <c r="K9" s="1">
        <v>3</v>
      </c>
      <c r="L9" s="1">
        <v>2894</v>
      </c>
      <c r="N9" s="1" t="s">
        <v>250</v>
      </c>
      <c r="P9" s="1">
        <v>2</v>
      </c>
      <c r="R9" s="12" t="s">
        <v>78</v>
      </c>
      <c r="S9" s="13">
        <f>COUNTIFS(book_reading_tb[Month_name],Dashboard!$B$6,book_reading_tb[Category],R9)</f>
        <v>0</v>
      </c>
    </row>
    <row r="10" spans="1:19" x14ac:dyDescent="0.3">
      <c r="A10" s="1" t="s">
        <v>59</v>
      </c>
      <c r="B10" s="1">
        <f>COUNTIF(book_db[Category],Count_of_books_per_category_tb[[#This Row],[Category]])</f>
        <v>10</v>
      </c>
      <c r="F10" s="1" t="s">
        <v>102</v>
      </c>
      <c r="G10" s="1">
        <v>8</v>
      </c>
      <c r="J10" s="1" t="s">
        <v>99</v>
      </c>
      <c r="K10" s="1">
        <v>1</v>
      </c>
      <c r="L10" s="1">
        <v>270</v>
      </c>
      <c r="N10" s="1" t="s">
        <v>97</v>
      </c>
      <c r="O10" s="1" t="s">
        <v>73</v>
      </c>
      <c r="P10" s="1">
        <v>2</v>
      </c>
      <c r="R10" s="12" t="s">
        <v>62</v>
      </c>
      <c r="S10" s="13">
        <f>COUNTIFS(book_reading_tb[Month_name],Dashboard!$B$6,book_reading_tb[Category],R10)</f>
        <v>0</v>
      </c>
    </row>
    <row r="11" spans="1:19" x14ac:dyDescent="0.3">
      <c r="A11" s="1" t="s">
        <v>76</v>
      </c>
      <c r="B11" s="1">
        <f>COUNTIF(book_db[Category],Count_of_books_per_category_tb[[#This Row],[Category]])</f>
        <v>5</v>
      </c>
      <c r="F11" s="1" t="s">
        <v>103</v>
      </c>
      <c r="G11" s="1">
        <v>9</v>
      </c>
      <c r="J11" s="1" t="s">
        <v>100</v>
      </c>
      <c r="K11" s="1">
        <v>1</v>
      </c>
      <c r="L11" s="1">
        <v>238</v>
      </c>
      <c r="N11" s="1" t="s">
        <v>97</v>
      </c>
      <c r="O11" s="1" t="s">
        <v>78</v>
      </c>
      <c r="P11" s="1">
        <v>2</v>
      </c>
      <c r="R11" s="12" t="s">
        <v>69</v>
      </c>
      <c r="S11" s="13">
        <f>COUNTIFS(book_reading_tb[Month_name],Dashboard!$B$6,book_reading_tb[Category],R11)</f>
        <v>0</v>
      </c>
    </row>
    <row r="12" spans="1:19" x14ac:dyDescent="0.3">
      <c r="A12" s="1" t="s">
        <v>61</v>
      </c>
      <c r="B12" s="1">
        <f>COUNTIF(book_db[Category],Count_of_books_per_category_tb[[#This Row],[Category]])</f>
        <v>4</v>
      </c>
      <c r="F12" s="1" t="s">
        <v>104</v>
      </c>
      <c r="G12" s="1">
        <v>10</v>
      </c>
      <c r="J12" s="1" t="s">
        <v>246</v>
      </c>
      <c r="K12" s="1">
        <v>7</v>
      </c>
      <c r="L12" s="1">
        <v>3967</v>
      </c>
      <c r="N12" s="1" t="s">
        <v>251</v>
      </c>
      <c r="P12" s="1">
        <v>4</v>
      </c>
      <c r="R12" s="12" t="s">
        <v>74</v>
      </c>
      <c r="S12" s="13">
        <f>COUNTIFS(book_reading_tb[Month_name],Dashboard!$B$6,book_reading_tb[Category],R12)</f>
        <v>0</v>
      </c>
    </row>
    <row r="13" spans="1:19" x14ac:dyDescent="0.3">
      <c r="A13" s="1" t="s">
        <v>64</v>
      </c>
      <c r="B13" s="1">
        <f>COUNTIF(book_db[Category],Count_of_books_per_category_tb[[#This Row],[Category]])</f>
        <v>2</v>
      </c>
      <c r="F13" s="1" t="s">
        <v>105</v>
      </c>
      <c r="G13" s="1">
        <v>11</v>
      </c>
      <c r="J13" s="1" t="s">
        <v>101</v>
      </c>
      <c r="K13" s="1">
        <v>2</v>
      </c>
      <c r="L13" s="1">
        <v>1546</v>
      </c>
      <c r="N13" s="1" t="s">
        <v>98</v>
      </c>
      <c r="O13" s="1" t="s">
        <v>62</v>
      </c>
      <c r="P13" s="1">
        <v>2</v>
      </c>
      <c r="R13" s="12" t="s">
        <v>66</v>
      </c>
      <c r="S13" s="13">
        <f>COUNTIFS(book_reading_tb[Month_name],Dashboard!$B$6,book_reading_tb[Category],R13)</f>
        <v>0</v>
      </c>
    </row>
    <row r="14" spans="1:19" x14ac:dyDescent="0.3">
      <c r="A14" s="1" t="s">
        <v>63</v>
      </c>
      <c r="B14" s="1">
        <f>COUNTIF(book_db[Category],Count_of_books_per_category_tb[[#This Row],[Category]])</f>
        <v>21</v>
      </c>
      <c r="F14" s="1" t="s">
        <v>106</v>
      </c>
      <c r="G14" s="1">
        <v>12</v>
      </c>
      <c r="J14" s="1" t="s">
        <v>102</v>
      </c>
      <c r="K14" s="1">
        <v>1</v>
      </c>
      <c r="L14" s="1">
        <v>259</v>
      </c>
      <c r="N14" s="1" t="s">
        <v>252</v>
      </c>
      <c r="P14" s="1">
        <v>2</v>
      </c>
      <c r="R14" s="12" t="s">
        <v>59</v>
      </c>
      <c r="S14" s="13">
        <f>COUNTIFS(book_reading_tb[Month_name],Dashboard!$B$6,book_reading_tb[Category],R14)</f>
        <v>0</v>
      </c>
    </row>
    <row r="15" spans="1:19" x14ac:dyDescent="0.3">
      <c r="A15" s="1" t="s">
        <v>65</v>
      </c>
      <c r="B15" s="1">
        <f>COUNTIF(book_db[Category],Count_of_books_per_category_tb[[#This Row],[Category]])</f>
        <v>5</v>
      </c>
      <c r="G15" s="5"/>
      <c r="J15" s="1" t="s">
        <v>103</v>
      </c>
      <c r="K15" s="1">
        <v>1</v>
      </c>
      <c r="L15" s="1">
        <v>364</v>
      </c>
      <c r="N15" s="1" t="s">
        <v>99</v>
      </c>
      <c r="O15" s="1" t="s">
        <v>62</v>
      </c>
      <c r="P15" s="1">
        <v>1</v>
      </c>
      <c r="R15" s="12" t="s">
        <v>76</v>
      </c>
      <c r="S15" s="13">
        <f>COUNTIFS(book_reading_tb[Month_name],Dashboard!$B$6,book_reading_tb[Category],R15)</f>
        <v>0</v>
      </c>
    </row>
    <row r="16" spans="1:19" x14ac:dyDescent="0.3">
      <c r="A16" s="1" t="s">
        <v>75</v>
      </c>
      <c r="B16" s="1">
        <f>COUNTIF(book_db[Category],Count_of_books_per_category_tb[[#This Row],[Category]])</f>
        <v>5</v>
      </c>
      <c r="G16" s="5"/>
      <c r="J16" s="1" t="s">
        <v>104</v>
      </c>
      <c r="K16" s="1">
        <v>1</v>
      </c>
      <c r="L16" s="1">
        <v>283</v>
      </c>
      <c r="N16" s="1" t="s">
        <v>253</v>
      </c>
      <c r="P16" s="1">
        <v>1</v>
      </c>
      <c r="R16" s="12" t="s">
        <v>61</v>
      </c>
      <c r="S16" s="13">
        <f>COUNTIFS(book_reading_tb[Month_name],Dashboard!$B$6,book_reading_tb[Category],R16)</f>
        <v>0</v>
      </c>
    </row>
    <row r="17" spans="1:19" x14ac:dyDescent="0.3">
      <c r="A17" s="1" t="s">
        <v>72</v>
      </c>
      <c r="B17" s="1">
        <f>COUNTIF(book_db[Category],Count_of_books_per_category_tb[[#This Row],[Category]])</f>
        <v>4</v>
      </c>
      <c r="J17" s="1" t="s">
        <v>105</v>
      </c>
      <c r="K17" s="1">
        <v>1</v>
      </c>
      <c r="L17" s="1">
        <v>103</v>
      </c>
      <c r="N17" s="1" t="s">
        <v>100</v>
      </c>
      <c r="O17" s="1" t="s">
        <v>71</v>
      </c>
      <c r="P17" s="1">
        <v>1</v>
      </c>
      <c r="R17" s="12" t="s">
        <v>64</v>
      </c>
      <c r="S17" s="13">
        <f>COUNTIFS(book_reading_tb[Month_name],Dashboard!$B$6,book_reading_tb[Category],R17)</f>
        <v>1</v>
      </c>
    </row>
    <row r="18" spans="1:19" x14ac:dyDescent="0.3">
      <c r="A18" s="1" t="s">
        <v>68</v>
      </c>
      <c r="B18" s="1">
        <f>COUNTIF(book_db[Category],Count_of_books_per_category_tb[[#This Row],[Category]])</f>
        <v>3</v>
      </c>
      <c r="J18" s="1" t="s">
        <v>106</v>
      </c>
      <c r="K18" s="1">
        <v>2</v>
      </c>
      <c r="L18" s="1">
        <v>1781</v>
      </c>
      <c r="N18" s="1" t="s">
        <v>254</v>
      </c>
      <c r="P18" s="1">
        <v>1</v>
      </c>
      <c r="R18" s="12" t="s">
        <v>63</v>
      </c>
      <c r="S18" s="13">
        <f>COUNTIFS(book_reading_tb[Month_name],Dashboard!$B$6,book_reading_tb[Category],R18)</f>
        <v>1</v>
      </c>
    </row>
    <row r="19" spans="1:19" x14ac:dyDescent="0.3">
      <c r="A19" s="1" t="s">
        <v>70</v>
      </c>
      <c r="B19" s="1">
        <f>COUNTIF(book_db[Category],Count_of_books_per_category_tb[[#This Row],[Category]])</f>
        <v>3</v>
      </c>
      <c r="J19" s="1" t="s">
        <v>242</v>
      </c>
      <c r="K19" s="1">
        <v>31</v>
      </c>
      <c r="L19" s="1">
        <v>16733</v>
      </c>
      <c r="N19" s="1" t="s">
        <v>246</v>
      </c>
      <c r="O19" s="1" t="s">
        <v>62</v>
      </c>
      <c r="P19" s="1">
        <v>4</v>
      </c>
      <c r="R19" s="12" t="s">
        <v>65</v>
      </c>
      <c r="S19" s="13">
        <f>COUNTIFS(book_reading_tb[Month_name],Dashboard!$B$6,book_reading_tb[Category],R19)</f>
        <v>0</v>
      </c>
    </row>
    <row r="20" spans="1:19" x14ac:dyDescent="0.3">
      <c r="A20" s="1" t="s">
        <v>77</v>
      </c>
      <c r="B20" s="1">
        <f>COUNTIF(book_db[Category],Count_of_books_per_category_tb[[#This Row],[Category]])</f>
        <v>5</v>
      </c>
      <c r="N20" s="1" t="s">
        <v>255</v>
      </c>
      <c r="P20" s="1">
        <v>4</v>
      </c>
      <c r="R20" s="12" t="s">
        <v>75</v>
      </c>
      <c r="S20" s="13">
        <f>COUNTIFS(book_reading_tb[Month_name],Dashboard!$B$6,book_reading_tb[Category],R20)</f>
        <v>0</v>
      </c>
    </row>
    <row r="21" spans="1:19" x14ac:dyDescent="0.3">
      <c r="A21" s="1" t="s">
        <v>71</v>
      </c>
      <c r="B21" s="1">
        <f>COUNTIF(book_db[Category],Count_of_books_per_category_tb[[#This Row],[Category]])</f>
        <v>3</v>
      </c>
      <c r="N21" s="1" t="s">
        <v>101</v>
      </c>
      <c r="O21" s="1" t="s">
        <v>68</v>
      </c>
      <c r="P21" s="1">
        <v>1</v>
      </c>
      <c r="R21" s="12" t="s">
        <v>72</v>
      </c>
      <c r="S21" s="13">
        <f>COUNTIFS(book_reading_tb[Month_name],Dashboard!$B$6,book_reading_tb[Category],R21)</f>
        <v>2</v>
      </c>
    </row>
    <row r="22" spans="1:19" x14ac:dyDescent="0.3">
      <c r="A22" s="1" t="s">
        <v>67</v>
      </c>
      <c r="B22" s="1">
        <f>COUNTIF(book_db[Category],Count_of_books_per_category_tb[[#This Row],[Category]])</f>
        <v>2</v>
      </c>
      <c r="N22" s="1" t="s">
        <v>101</v>
      </c>
      <c r="O22" s="1" t="s">
        <v>65</v>
      </c>
      <c r="P22" s="1">
        <v>1</v>
      </c>
      <c r="R22" s="12" t="s">
        <v>68</v>
      </c>
      <c r="S22" s="13">
        <f>COUNTIFS(book_reading_tb[Month_name],Dashboard!$B$6,book_reading_tb[Category],R22)</f>
        <v>0</v>
      </c>
    </row>
    <row r="23" spans="1:19" x14ac:dyDescent="0.3">
      <c r="J23"/>
      <c r="K23"/>
      <c r="N23" s="1" t="s">
        <v>256</v>
      </c>
      <c r="P23" s="1">
        <v>2</v>
      </c>
      <c r="R23" s="12" t="s">
        <v>70</v>
      </c>
      <c r="S23" s="13">
        <f>COUNTIFS(book_reading_tb[Month_name],Dashboard!$B$6,book_reading_tb[Category],R23)</f>
        <v>0</v>
      </c>
    </row>
    <row r="24" spans="1:19" x14ac:dyDescent="0.3">
      <c r="N24" s="1" t="s">
        <v>102</v>
      </c>
      <c r="O24" s="1" t="s">
        <v>63</v>
      </c>
      <c r="P24" s="1">
        <v>1</v>
      </c>
      <c r="R24" s="12" t="s">
        <v>77</v>
      </c>
      <c r="S24" s="13">
        <f>COUNTIFS(book_reading_tb[Month_name],Dashboard!$B$6,book_reading_tb[Category],R24)</f>
        <v>0</v>
      </c>
    </row>
    <row r="25" spans="1:19" x14ac:dyDescent="0.3">
      <c r="J25"/>
      <c r="K25"/>
      <c r="L25"/>
      <c r="N25" s="1" t="s">
        <v>257</v>
      </c>
      <c r="P25" s="1">
        <v>1</v>
      </c>
      <c r="R25" s="12" t="s">
        <v>71</v>
      </c>
      <c r="S25" s="13">
        <f>COUNTIFS(book_reading_tb[Month_name],Dashboard!$B$6,book_reading_tb[Category],R25)</f>
        <v>0</v>
      </c>
    </row>
    <row r="26" spans="1:19" x14ac:dyDescent="0.3">
      <c r="J26"/>
      <c r="K26"/>
      <c r="L26"/>
      <c r="N26" s="1" t="s">
        <v>103</v>
      </c>
      <c r="O26" s="1" t="s">
        <v>63</v>
      </c>
      <c r="P26" s="1">
        <v>1</v>
      </c>
      <c r="R26" s="12" t="s">
        <v>67</v>
      </c>
      <c r="S26" s="13">
        <f>COUNTIFS(book_reading_tb[Month_name],Dashboard!$B$6,book_reading_tb[Category],R26)</f>
        <v>0</v>
      </c>
    </row>
    <row r="27" spans="1:19" x14ac:dyDescent="0.3">
      <c r="J27"/>
      <c r="K27"/>
      <c r="L27"/>
      <c r="N27" s="1" t="s">
        <v>258</v>
      </c>
      <c r="P27" s="1">
        <v>1</v>
      </c>
    </row>
    <row r="28" spans="1:19" x14ac:dyDescent="0.3">
      <c r="J28"/>
      <c r="K28"/>
      <c r="L28"/>
      <c r="N28" s="1" t="s">
        <v>104</v>
      </c>
      <c r="O28" s="1" t="s">
        <v>72</v>
      </c>
      <c r="P28" s="1">
        <v>1</v>
      </c>
    </row>
    <row r="29" spans="1:19" x14ac:dyDescent="0.3">
      <c r="J29"/>
      <c r="K29"/>
      <c r="L29"/>
      <c r="N29" s="1" t="s">
        <v>259</v>
      </c>
      <c r="P29" s="1">
        <v>1</v>
      </c>
    </row>
    <row r="30" spans="1:19" x14ac:dyDescent="0.3">
      <c r="J30"/>
      <c r="K30"/>
      <c r="L30"/>
      <c r="N30" s="1" t="s">
        <v>105</v>
      </c>
      <c r="O30" s="1" t="s">
        <v>67</v>
      </c>
      <c r="P30" s="1">
        <v>1</v>
      </c>
    </row>
    <row r="31" spans="1:19" x14ac:dyDescent="0.3">
      <c r="J31"/>
      <c r="K31"/>
      <c r="L31"/>
      <c r="N31" s="1" t="s">
        <v>260</v>
      </c>
      <c r="P31" s="1">
        <v>1</v>
      </c>
    </row>
    <row r="32" spans="1:19" x14ac:dyDescent="0.3">
      <c r="J32"/>
      <c r="K32"/>
      <c r="L32"/>
      <c r="N32" s="1" t="s">
        <v>106</v>
      </c>
      <c r="O32" s="1" t="s">
        <v>60</v>
      </c>
      <c r="P32" s="1">
        <v>1</v>
      </c>
    </row>
    <row r="33" spans="10:16" x14ac:dyDescent="0.3">
      <c r="J33"/>
      <c r="K33"/>
      <c r="L33"/>
      <c r="N33" s="1" t="s">
        <v>106</v>
      </c>
      <c r="O33" s="1" t="s">
        <v>61</v>
      </c>
      <c r="P33" s="1">
        <v>1</v>
      </c>
    </row>
    <row r="34" spans="10:16" x14ac:dyDescent="0.3">
      <c r="J34"/>
      <c r="K34"/>
      <c r="L34"/>
      <c r="N34" s="1" t="s">
        <v>261</v>
      </c>
      <c r="P34" s="1">
        <v>2</v>
      </c>
    </row>
    <row r="35" spans="10:16" x14ac:dyDescent="0.3">
      <c r="J35"/>
      <c r="K35"/>
      <c r="L35"/>
      <c r="N35" s="1" t="s">
        <v>242</v>
      </c>
      <c r="P35" s="1">
        <v>24</v>
      </c>
    </row>
    <row r="36" spans="10:16" x14ac:dyDescent="0.3">
      <c r="J36"/>
      <c r="K36"/>
      <c r="L36"/>
    </row>
    <row r="37" spans="10:16" x14ac:dyDescent="0.3">
      <c r="J37"/>
      <c r="K37"/>
      <c r="L37"/>
    </row>
    <row r="38" spans="10:16" x14ac:dyDescent="0.3">
      <c r="J38"/>
      <c r="K38"/>
      <c r="L38"/>
    </row>
    <row r="39" spans="10:16" x14ac:dyDescent="0.3">
      <c r="J39"/>
      <c r="K39"/>
      <c r="L39"/>
    </row>
    <row r="40" spans="10:16" x14ac:dyDescent="0.3">
      <c r="J40"/>
      <c r="K40"/>
      <c r="L40"/>
    </row>
    <row r="41" spans="10:16" x14ac:dyDescent="0.3">
      <c r="J41"/>
      <c r="K41"/>
      <c r="L41"/>
    </row>
    <row r="42" spans="10:16" x14ac:dyDescent="0.3">
      <c r="J42"/>
      <c r="K42"/>
      <c r="L42"/>
    </row>
    <row r="43" spans="10:16" x14ac:dyDescent="0.3">
      <c r="J43"/>
      <c r="K43"/>
      <c r="L43"/>
    </row>
    <row r="44" spans="10:16" x14ac:dyDescent="0.3">
      <c r="J44"/>
      <c r="K44"/>
      <c r="L44"/>
    </row>
    <row r="45" spans="10:16" x14ac:dyDescent="0.3">
      <c r="J45"/>
      <c r="K45"/>
      <c r="L45"/>
    </row>
    <row r="46" spans="10:16" x14ac:dyDescent="0.3">
      <c r="J46"/>
      <c r="K46"/>
      <c r="L46"/>
    </row>
    <row r="47" spans="10:16" x14ac:dyDescent="0.3">
      <c r="J47"/>
      <c r="K47"/>
      <c r="L47"/>
    </row>
    <row r="48" spans="10:16" x14ac:dyDescent="0.3">
      <c r="J48"/>
      <c r="K48"/>
      <c r="L48"/>
    </row>
    <row r="49" spans="10:12" x14ac:dyDescent="0.3">
      <c r="J49"/>
      <c r="K49"/>
      <c r="L49"/>
    </row>
    <row r="50" spans="10:12" x14ac:dyDescent="0.3">
      <c r="J50"/>
      <c r="K50"/>
      <c r="L50"/>
    </row>
    <row r="51" spans="10:12" x14ac:dyDescent="0.3">
      <c r="J51"/>
      <c r="K51"/>
      <c r="L51"/>
    </row>
    <row r="52" spans="10:12" x14ac:dyDescent="0.3">
      <c r="J52"/>
      <c r="K52"/>
      <c r="L52"/>
    </row>
    <row r="53" spans="10:12" x14ac:dyDescent="0.3">
      <c r="J53"/>
      <c r="K53"/>
      <c r="L53"/>
    </row>
    <row r="54" spans="10:12" x14ac:dyDescent="0.3">
      <c r="J54"/>
      <c r="K54"/>
      <c r="L54"/>
    </row>
    <row r="55" spans="10:12" x14ac:dyDescent="0.3">
      <c r="J55"/>
      <c r="K55"/>
      <c r="L55"/>
    </row>
    <row r="56" spans="10:12" x14ac:dyDescent="0.3">
      <c r="J56"/>
      <c r="K56"/>
      <c r="L56"/>
    </row>
    <row r="57" spans="10:12" x14ac:dyDescent="0.3">
      <c r="J57"/>
      <c r="K57"/>
      <c r="L57"/>
    </row>
    <row r="58" spans="10:12" x14ac:dyDescent="0.3">
      <c r="J58"/>
      <c r="K58"/>
      <c r="L58"/>
    </row>
    <row r="59" spans="10:12" x14ac:dyDescent="0.3">
      <c r="J59"/>
      <c r="K59"/>
      <c r="L59"/>
    </row>
    <row r="60" spans="10:12" x14ac:dyDescent="0.3">
      <c r="J60"/>
      <c r="K60"/>
      <c r="L60"/>
    </row>
    <row r="61" spans="10:12" x14ac:dyDescent="0.3">
      <c r="J61"/>
      <c r="K61"/>
      <c r="L61"/>
    </row>
  </sheetData>
  <mergeCells count="3">
    <mergeCell ref="N4:P4"/>
    <mergeCell ref="J4:L4"/>
    <mergeCell ref="R5:S5"/>
  </mergeCells>
  <phoneticPr fontId="1" type="noConversion"/>
  <pageMargins left="0.7" right="0.7" top="0.75" bottom="0.75" header="0.3" footer="0.3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9B624-4A6B-4C9B-A403-3BCB6F965C62}">
  <sheetPr codeName="Sheet3">
    <tabColor rgb="FFFFCDFF"/>
  </sheetPr>
  <dimension ref="A2:K57"/>
  <sheetViews>
    <sheetView showGridLines="0" showZeros="0" tabSelected="1" zoomScale="80" zoomScaleNormal="80" workbookViewId="0">
      <selection activeCell="B57" sqref="B57"/>
    </sheetView>
  </sheetViews>
  <sheetFormatPr defaultRowHeight="16.3" x14ac:dyDescent="0.3"/>
  <cols>
    <col min="1" max="1" width="9" style="4"/>
    <col min="2" max="2" width="56.125" style="4" customWidth="1"/>
    <col min="3" max="3" width="27.75" style="4" bestFit="1" customWidth="1"/>
    <col min="4" max="4" width="28.125" style="4" customWidth="1"/>
    <col min="5" max="5" width="26.75" style="4" bestFit="1" customWidth="1"/>
    <col min="6" max="6" width="64.375" style="4" customWidth="1"/>
    <col min="7" max="7" width="13" style="4" bestFit="1" customWidth="1"/>
    <col min="8" max="8" width="59.5" style="4" customWidth="1"/>
    <col min="9" max="9" width="37" style="4" customWidth="1"/>
    <col min="10" max="10" width="17.875" style="4" bestFit="1" customWidth="1"/>
    <col min="11" max="11" width="12" style="4" bestFit="1" customWidth="1"/>
    <col min="12" max="16384" width="9" style="4"/>
  </cols>
  <sheetData>
    <row r="2" spans="1:10" x14ac:dyDescent="0.3">
      <c r="A2" s="14"/>
      <c r="B2" s="14"/>
      <c r="C2" s="14"/>
      <c r="D2" s="14"/>
      <c r="E2" s="14"/>
      <c r="F2" s="14"/>
      <c r="G2" s="14"/>
      <c r="H2" s="14"/>
      <c r="I2" s="14"/>
      <c r="J2" s="14"/>
    </row>
    <row r="3" spans="1:10" x14ac:dyDescent="0.3">
      <c r="A3" s="14"/>
      <c r="B3" s="14"/>
      <c r="C3" s="14"/>
      <c r="D3" s="14"/>
      <c r="E3" s="14"/>
      <c r="F3" s="14"/>
      <c r="G3" s="14"/>
      <c r="H3" s="14"/>
      <c r="I3" s="14"/>
      <c r="J3" s="14"/>
    </row>
    <row r="4" spans="1:10" ht="21.75" x14ac:dyDescent="0.4">
      <c r="A4" s="14"/>
      <c r="B4" s="14"/>
      <c r="C4" s="14"/>
      <c r="D4" s="14"/>
      <c r="E4" s="14"/>
      <c r="F4" s="15"/>
      <c r="G4" s="14"/>
      <c r="H4" s="14"/>
      <c r="I4" s="14"/>
      <c r="J4" s="14"/>
    </row>
    <row r="5" spans="1:10" ht="21.75" x14ac:dyDescent="0.4">
      <c r="A5" s="14"/>
      <c r="B5" s="10" t="s">
        <v>244</v>
      </c>
      <c r="C5" s="14"/>
      <c r="D5" s="14"/>
      <c r="E5" s="14"/>
      <c r="F5" s="14"/>
      <c r="G5" s="14"/>
      <c r="H5" s="14"/>
      <c r="I5" s="14"/>
      <c r="J5" s="14"/>
    </row>
    <row r="6" spans="1:10" ht="21.75" x14ac:dyDescent="0.4">
      <c r="A6" s="14"/>
      <c r="B6" s="21" t="s">
        <v>95</v>
      </c>
      <c r="C6" s="14"/>
      <c r="D6" s="16">
        <f>VLOOKUP($B$6,Pivot_tb_sheet!$J$5:$L$19,2,FALSE)</f>
        <v>4</v>
      </c>
      <c r="E6" s="17">
        <f>VLOOKUP($B$6,Pivot_tb_sheet!$J$5:$L$19,3,FALSE)</f>
        <v>1889</v>
      </c>
      <c r="F6" s="15" t="str">
        <f>VLOOKUP($B$6,Pivot_tb_sheet!N6:P33,2,FALSE)</f>
        <v>Romance</v>
      </c>
      <c r="G6" s="14"/>
      <c r="H6" s="14"/>
      <c r="I6" s="14"/>
      <c r="J6" s="14"/>
    </row>
    <row r="7" spans="1:10" ht="9.5500000000000007" customHeight="1" x14ac:dyDescent="0.4">
      <c r="A7" s="14"/>
      <c r="B7" s="20"/>
      <c r="C7" s="14"/>
      <c r="D7" s="15"/>
      <c r="E7" s="18"/>
      <c r="F7" s="15"/>
      <c r="G7" s="14"/>
      <c r="H7" s="14"/>
      <c r="I7" s="14"/>
      <c r="J7" s="14"/>
    </row>
    <row r="8" spans="1:10" x14ac:dyDescent="0.3">
      <c r="A8" s="14"/>
      <c r="B8" s="14"/>
      <c r="C8" s="14"/>
      <c r="D8" s="19" t="s">
        <v>84</v>
      </c>
      <c r="E8" s="19" t="s">
        <v>241</v>
      </c>
      <c r="F8" s="19" t="s">
        <v>243</v>
      </c>
      <c r="G8" s="14"/>
      <c r="H8" s="14"/>
      <c r="I8" s="14"/>
      <c r="J8" s="14"/>
    </row>
    <row r="11" spans="1:10" x14ac:dyDescent="0.3">
      <c r="G11" s="56" t="s">
        <v>267</v>
      </c>
      <c r="H11" s="57"/>
      <c r="I11" s="58"/>
    </row>
    <row r="12" spans="1:10" x14ac:dyDescent="0.3">
      <c r="G12" s="24" t="s">
        <v>240</v>
      </c>
      <c r="H12" s="25" t="s">
        <v>79</v>
      </c>
      <c r="I12" s="26" t="s">
        <v>80</v>
      </c>
    </row>
    <row r="13" spans="1:10" x14ac:dyDescent="0.3">
      <c r="G13" s="27">
        <f ca="1">IF(COUNTIF(book_reading_tb[Book_ID], RANDBETWEEN(1, Book_database!$A$2)) = 0, RANDBETWEEN(1, Book_database!$A$2), "na")</f>
        <v>34</v>
      </c>
      <c r="H13" s="28" t="str">
        <f ca="1">VLOOKUP(G13,book_db[],4,FALSE)</f>
        <v>Maus</v>
      </c>
      <c r="I13" s="28" t="str">
        <f ca="1">VLOOKUP(G13,book_db[],3,FALSE)</f>
        <v>Art Spiegelman</v>
      </c>
    </row>
    <row r="21" spans="2:11" x14ac:dyDescent="0.3">
      <c r="F21" s="36"/>
    </row>
    <row r="26" spans="2:11" x14ac:dyDescent="0.3">
      <c r="B26" s="43" t="s">
        <v>79</v>
      </c>
      <c r="C26" s="44" t="s">
        <v>80</v>
      </c>
      <c r="D26" s="44" t="s">
        <v>126</v>
      </c>
      <c r="E26" s="44" t="s">
        <v>82</v>
      </c>
      <c r="F26" s="44" t="s">
        <v>268</v>
      </c>
      <c r="G26" s="44" t="s">
        <v>263</v>
      </c>
      <c r="H26" s="44" t="s">
        <v>86</v>
      </c>
      <c r="I26" s="44" t="s">
        <v>247</v>
      </c>
      <c r="J26" s="44" t="s">
        <v>239</v>
      </c>
      <c r="K26" s="45" t="s">
        <v>240</v>
      </c>
    </row>
    <row r="27" spans="2:11" ht="17" thickBot="1" x14ac:dyDescent="0.35">
      <c r="B27" s="37" t="s">
        <v>25</v>
      </c>
      <c r="C27" s="38" t="str">
        <f>IFERROR(INDEX(book_db[],MATCH(Dashboard!$B27,book_db[Book Title],0),MATCH(Dashboard!$C$26,book_db[#Headers],0)), "")</f>
        <v>J.D. Salinger</v>
      </c>
      <c r="D27" s="38" t="str">
        <f>IFERROR(INDEX(book_db[],MATCH(Dashboard!$B27,book_db[Book Title],0),MATCH(Dashboard!$D$26,book_db[#Headers],0)), "")</f>
        <v>Literature &amp; Fiction</v>
      </c>
      <c r="E27" s="39" t="s">
        <v>84</v>
      </c>
      <c r="F27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27" s="47">
        <v>699</v>
      </c>
      <c r="H27" s="49">
        <v>44927</v>
      </c>
      <c r="I27" s="40" t="str">
        <f>IFERROR(INDEX(Month_tb[],MATCH(MONTH(book_reading_tb[[#This Row],[COMPLETION DATE]]),Month_tb[Month number],0),1), "NA")</f>
        <v>Jan</v>
      </c>
      <c r="J27" s="41">
        <f>IFERROR(INDEX(book_db[],MATCH(Dashboard!$B27,book_db[Book Title],0),MATCH(Dashboard!$J$26,book_db[#Headers],0)),"")</f>
        <v>823</v>
      </c>
      <c r="K27" s="42">
        <f>INDEX(book_db[],MATCH(book_reading_tb[[#This Row],[TITLE]],book_db[Book Title],0),1)</f>
        <v>63</v>
      </c>
    </row>
    <row r="28" spans="2:11" ht="17" thickBot="1" x14ac:dyDescent="0.35">
      <c r="B28" s="29" t="s">
        <v>217</v>
      </c>
      <c r="C28" s="30" t="str">
        <f>IFERROR(INDEX(book_db[],MATCH(Dashboard!$B28,book_db[Book Title],0),MATCH(Dashboard!$C$26,book_db[#Headers],0)), "")</f>
        <v>Arthur Conan Doyle</v>
      </c>
      <c r="D28" s="30" t="str">
        <f>IFERROR(INDEX(book_db[],MATCH(Dashboard!$B28,book_db[Book Title],0),MATCH(Dashboard!$D$26,book_db[#Headers],0)), "")</f>
        <v>Mystery</v>
      </c>
      <c r="E28" s="31" t="s">
        <v>84</v>
      </c>
      <c r="F28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28" s="48">
        <v>274</v>
      </c>
      <c r="H28" s="50">
        <v>44935</v>
      </c>
      <c r="I28" s="32" t="str">
        <f>IFERROR(INDEX(Month_tb[],MATCH(MONTH(book_reading_tb[[#This Row],[COMPLETION DATE]]),Month_tb[Month number],0),1), "NA")</f>
        <v>Jan</v>
      </c>
      <c r="J28" s="33">
        <f>IFERROR(INDEX(book_db[],MATCH(Dashboard!$B28,book_db[Book Title],0),MATCH(Dashboard!$J$26,book_db[#Headers],0)),"")</f>
        <v>469</v>
      </c>
      <c r="K28" s="34">
        <f>INDEX(book_db[],MATCH(book_reading_tb[[#This Row],[TITLE]],book_db[Book Title],0),1)</f>
        <v>68</v>
      </c>
    </row>
    <row r="29" spans="2:11" ht="17" thickBot="1" x14ac:dyDescent="0.35">
      <c r="B29" s="35" t="s">
        <v>149</v>
      </c>
      <c r="C29" s="30" t="str">
        <f>IFERROR(INDEX(book_db[],MATCH(Dashboard!$B29,book_db[Book Title],0),MATCH(Dashboard!$C$26,book_db[#Headers],0)), "")</f>
        <v>Colleen Hoover</v>
      </c>
      <c r="D29" s="30" t="str">
        <f>IFERROR(INDEX(book_db[],MATCH(Dashboard!$B29,book_db[Book Title],0),MATCH(Dashboard!$D$26,book_db[#Headers],0)), "")</f>
        <v>Romance</v>
      </c>
      <c r="E29" s="31" t="s">
        <v>84</v>
      </c>
      <c r="F29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29" s="48">
        <v>432</v>
      </c>
      <c r="H29" s="50">
        <v>44941</v>
      </c>
      <c r="I29" s="32" t="str">
        <f>IFERROR(INDEX(Month_tb[],MATCH(MONTH(book_reading_tb[[#This Row],[COMPLETION DATE]]),Month_tb[Month number],0),1), "NA")</f>
        <v>Jan</v>
      </c>
      <c r="J29" s="33">
        <f>IFERROR(INDEX(book_db[],MATCH(Dashboard!$B29,book_db[Book Title],0),MATCH(Dashboard!$J$26,book_db[#Headers],0)),"")</f>
        <v>215</v>
      </c>
      <c r="K29" s="34">
        <f>INDEX(book_db[],MATCH(book_reading_tb[[#This Row],[TITLE]],book_db[Book Title],0),1)</f>
        <v>99</v>
      </c>
    </row>
    <row r="30" spans="2:11" ht="17" thickBot="1" x14ac:dyDescent="0.35">
      <c r="B30" s="35" t="s">
        <v>88</v>
      </c>
      <c r="C30" s="30" t="str">
        <f>IFERROR(INDEX(book_db[],MATCH(Dashboard!$B30,book_db[Book Title],0),MATCH(Dashboard!$C$26,book_db[#Headers],0)), "")</f>
        <v>Jane Austen</v>
      </c>
      <c r="D30" s="30" t="str">
        <f>IFERROR(INDEX(book_db[],MATCH(Dashboard!$B30,book_db[Book Title],0),MATCH(Dashboard!$D$26,book_db[#Headers],0)), "")</f>
        <v>Romance</v>
      </c>
      <c r="E30" s="31" t="s">
        <v>84</v>
      </c>
      <c r="F30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30" s="48">
        <v>400</v>
      </c>
      <c r="H30" s="50">
        <v>44943</v>
      </c>
      <c r="I30" s="32" t="str">
        <f>IFERROR(INDEX(Month_tb[],MATCH(MONTH(book_reading_tb[[#This Row],[COMPLETION DATE]]),Month_tb[Month number],0),1), "NA")</f>
        <v>Jan</v>
      </c>
      <c r="J30" s="33">
        <f>IFERROR(INDEX(book_db[],MATCH(Dashboard!$B30,book_db[Book Title],0),MATCH(Dashboard!$J$26,book_db[#Headers],0)),"")</f>
        <v>382</v>
      </c>
      <c r="K30" s="34">
        <f>INDEX(book_db[],MATCH(book_reading_tb[[#This Row],[TITLE]],book_db[Book Title],0),1)</f>
        <v>97</v>
      </c>
    </row>
    <row r="31" spans="2:11" ht="17" thickBot="1" x14ac:dyDescent="0.35">
      <c r="B31" s="35" t="s">
        <v>183</v>
      </c>
      <c r="C31" s="30" t="str">
        <f>IFERROR(INDEX(book_db[],MATCH(Dashboard!$B31,book_db[Book Title],0),MATCH(Dashboard!$C$26,book_db[#Headers],0)), "")</f>
        <v>Austin Kleon</v>
      </c>
      <c r="D31" s="30" t="str">
        <f>IFERROR(INDEX(book_db[],MATCH(Dashboard!$B31,book_db[Book Title],0),MATCH(Dashboard!$D$26,book_db[#Headers],0)), "")</f>
        <v>Arts &amp; Photography</v>
      </c>
      <c r="E31" s="31" t="s">
        <v>87</v>
      </c>
      <c r="F31" s="46" t="str">
        <f>REPT("|",100*book_reading_tb[[#This Row],[Page No.]]/INDEX(book_db[],MATCH(book_reading_tb[[#This Row],[TITLE]],book_db[Book Title],0),8))</f>
        <v/>
      </c>
      <c r="G31" s="48">
        <v>0</v>
      </c>
      <c r="H31" s="50" t="s">
        <v>246</v>
      </c>
      <c r="I31" s="32" t="str">
        <f>IFERROR(INDEX(Month_tb[],MATCH(MONTH(book_reading_tb[[#This Row],[COMPLETION DATE]]),Month_tb[Month number],0),1), "NA")</f>
        <v>NA</v>
      </c>
      <c r="J31" s="33">
        <f>IFERROR(INDEX(book_db[],MATCH(Dashboard!$B31,book_db[Book Title],0),MATCH(Dashboard!$J$26,book_db[#Headers],0)),"")</f>
        <v>212</v>
      </c>
      <c r="K31" s="34">
        <f>INDEX(book_db[],MATCH(book_reading_tb[[#This Row],[TITLE]],book_db[Book Title],0),1)</f>
        <v>3</v>
      </c>
    </row>
    <row r="32" spans="2:11" ht="17" thickBot="1" x14ac:dyDescent="0.35">
      <c r="B32" s="35" t="s">
        <v>184</v>
      </c>
      <c r="C32" s="30" t="str">
        <f>IFERROR(INDEX(book_db[],MATCH(Dashboard!$B32,book_db[Book Title],0),MATCH(Dashboard!$C$26,book_db[#Headers],0)), "")</f>
        <v>John Berger</v>
      </c>
      <c r="D32" s="30" t="str">
        <f>IFERROR(INDEX(book_db[],MATCH(Dashboard!$B32,book_db[Book Title],0),MATCH(Dashboard!$D$26,book_db[#Headers],0)), "")</f>
        <v>Arts &amp; Photography</v>
      </c>
      <c r="E32" s="31" t="s">
        <v>84</v>
      </c>
      <c r="F32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32" s="48">
        <v>176</v>
      </c>
      <c r="H32" s="50">
        <v>44959</v>
      </c>
      <c r="I32" s="32" t="str">
        <f>IFERROR(INDEX(Month_tb[],MATCH(MONTH(book_reading_tb[[#This Row],[COMPLETION DATE]]),Month_tb[Month number],0),1), "NA")</f>
        <v>Feb</v>
      </c>
      <c r="J32" s="33">
        <f>IFERROR(INDEX(book_db[],MATCH(Dashboard!$B32,book_db[Book Title],0),MATCH(Dashboard!$J$26,book_db[#Headers],0)),"")</f>
        <v>329</v>
      </c>
      <c r="K32" s="34">
        <f>INDEX(book_db[],MATCH(book_reading_tb[[#This Row],[TITLE]],book_db[Book Title],0),1)</f>
        <v>4</v>
      </c>
    </row>
    <row r="33" spans="2:11" ht="17" thickBot="1" x14ac:dyDescent="0.35">
      <c r="B33" s="35" t="s">
        <v>150</v>
      </c>
      <c r="C33" s="30" t="str">
        <f>IFERROR(INDEX(book_db[],MATCH(Dashboard!$B33,book_db[Book Title],0),MATCH(Dashboard!$C$26,book_db[#Headers],0)), "")</f>
        <v>Michelle Obama</v>
      </c>
      <c r="D33" s="30" t="str">
        <f>IFERROR(INDEX(book_db[],MATCH(Dashboard!$B33,book_db[Book Title],0),MATCH(Dashboard!$D$26,book_db[#Headers],0)), "")</f>
        <v>Biographies &amp; Memoirs</v>
      </c>
      <c r="E33" s="31" t="s">
        <v>85</v>
      </c>
      <c r="F33" s="46" t="str">
        <f>REPT("|",100*book_reading_tb[[#This Row],[Page No.]]/INDEX(book_db[],MATCH(book_reading_tb[[#This Row],[TITLE]],book_db[Book Title],0),8))</f>
        <v>|||||||||||||||||||||||||||||||||||||||||||||||||||||||||||||||||||||||</v>
      </c>
      <c r="G33" s="48">
        <v>320</v>
      </c>
      <c r="H33" s="50">
        <v>44968</v>
      </c>
      <c r="I33" s="32" t="str">
        <f>IFERROR(INDEX(Month_tb[],MATCH(MONTH(book_reading_tb[[#This Row],[COMPLETION DATE]]),Month_tb[Month number],0),1), "NA")</f>
        <v>Feb</v>
      </c>
      <c r="J33" s="33">
        <f>IFERROR(INDEX(book_db[],MATCH(Dashboard!$B33,book_db[Book Title],0),MATCH(Dashboard!$J$26,book_db[#Headers],0)),"")</f>
        <v>431</v>
      </c>
      <c r="K33" s="34">
        <f>INDEX(book_db[],MATCH(book_reading_tb[[#This Row],[TITLE]],book_db[Book Title],0),1)</f>
        <v>5</v>
      </c>
    </row>
    <row r="34" spans="2:11" ht="17" thickBot="1" x14ac:dyDescent="0.35">
      <c r="B34" s="35" t="s">
        <v>151</v>
      </c>
      <c r="C34" s="30" t="str">
        <f>IFERROR(INDEX(book_db[],MATCH(Dashboard!$B34,book_db[Book Title],0),MATCH(Dashboard!$C$26,book_db[#Headers],0)), "")</f>
        <v>Tara Westover</v>
      </c>
      <c r="D34" s="30" t="str">
        <f>IFERROR(INDEX(book_db[],MATCH(Dashboard!$B34,book_db[Book Title],0),MATCH(Dashboard!$D$26,book_db[#Headers],0)), "")</f>
        <v>Biographies &amp; Memoirs</v>
      </c>
      <c r="E34" s="31" t="s">
        <v>84</v>
      </c>
      <c r="F34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34" s="48">
        <v>400</v>
      </c>
      <c r="H34" s="50">
        <v>44976</v>
      </c>
      <c r="I34" s="32" t="str">
        <f>IFERROR(INDEX(Month_tb[],MATCH(MONTH(book_reading_tb[[#This Row],[COMPLETION DATE]]),Month_tb[Month number],0),1), "NA")</f>
        <v>Feb</v>
      </c>
      <c r="J34" s="33">
        <f>IFERROR(INDEX(book_db[],MATCH(Dashboard!$B34,book_db[Book Title],0),MATCH(Dashboard!$J$26,book_db[#Headers],0)),"")</f>
        <v>387</v>
      </c>
      <c r="K34" s="34">
        <f>INDEX(book_db[],MATCH(book_reading_tb[[#This Row],[TITLE]],book_db[Book Title],0),1)</f>
        <v>6</v>
      </c>
    </row>
    <row r="35" spans="2:11" ht="17" thickBot="1" x14ac:dyDescent="0.35">
      <c r="B35" s="35" t="s">
        <v>152</v>
      </c>
      <c r="C35" s="30" t="str">
        <f>IFERROR(INDEX(book_db[],MATCH(Dashboard!$B35,book_db[Book Title],0),MATCH(Dashboard!$C$26,book_db[#Headers],0)), "")</f>
        <v>Jeannette Walls</v>
      </c>
      <c r="D35" s="30" t="str">
        <f>IFERROR(INDEX(book_db[],MATCH(Dashboard!$B35,book_db[Book Title],0),MATCH(Dashboard!$D$26,book_db[#Headers],0)), "")</f>
        <v>Biographies &amp; Memoirs</v>
      </c>
      <c r="E35" s="31" t="s">
        <v>87</v>
      </c>
      <c r="F35" s="46" t="str">
        <f>REPT("|",100*book_reading_tb[[#This Row],[Page No.]]/INDEX(book_db[],MATCH(book_reading_tb[[#This Row],[TITLE]],book_db[Book Title],0),8))</f>
        <v/>
      </c>
      <c r="G35" s="48"/>
      <c r="H35" s="50" t="s">
        <v>246</v>
      </c>
      <c r="I35" s="32" t="str">
        <f>IFERROR(INDEX(Month_tb[],MATCH(MONTH(book_reading_tb[[#This Row],[COMPLETION DATE]]),Month_tb[Month number],0),1), "NA")</f>
        <v>NA</v>
      </c>
      <c r="J35" s="33">
        <f>IFERROR(INDEX(book_db[],MATCH(Dashboard!$B35,book_db[Book Title],0),MATCH(Dashboard!$J$26,book_db[#Headers],0)),"")</f>
        <v>699</v>
      </c>
      <c r="K35" s="34">
        <f>INDEX(book_db[],MATCH(book_reading_tb[[#This Row],[TITLE]],book_db[Book Title],0),1)</f>
        <v>7</v>
      </c>
    </row>
    <row r="36" spans="2:11" ht="17" thickBot="1" x14ac:dyDescent="0.35">
      <c r="B36" s="35" t="s">
        <v>153</v>
      </c>
      <c r="C36" s="30" t="str">
        <f>IFERROR(INDEX(book_db[],MATCH(Dashboard!$B36,book_db[Book Title],0),MATCH(Dashboard!$C$26,book_db[#Headers],0)), "")</f>
        <v>Cheryl Strayed</v>
      </c>
      <c r="D36" s="30" t="str">
        <f>IFERROR(INDEX(book_db[],MATCH(Dashboard!$B36,book_db[Book Title],0),MATCH(Dashboard!$D$26,book_db[#Headers],0)), "")</f>
        <v>Biographies &amp; Memoirs</v>
      </c>
      <c r="E36" s="31" t="s">
        <v>84</v>
      </c>
      <c r="F36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36" s="48">
        <v>352</v>
      </c>
      <c r="H36" s="50">
        <v>44990</v>
      </c>
      <c r="I36" s="32" t="str">
        <f>IFERROR(INDEX(Month_tb[],MATCH(MONTH(book_reading_tb[[#This Row],[COMPLETION DATE]]),Month_tb[Month number],0),1), "NA")</f>
        <v>Mar</v>
      </c>
      <c r="J36" s="33">
        <f>IFERROR(INDEX(book_db[],MATCH(Dashboard!$B36,book_db[Book Title],0),MATCH(Dashboard!$J$26,book_db[#Headers],0)),"")</f>
        <v>297</v>
      </c>
      <c r="K36" s="34">
        <f>INDEX(book_db[],MATCH(book_reading_tb[[#This Row],[TITLE]],book_db[Book Title],0),1)</f>
        <v>8</v>
      </c>
    </row>
    <row r="37" spans="2:11" ht="17" thickBot="1" x14ac:dyDescent="0.35">
      <c r="B37" s="35" t="s">
        <v>155</v>
      </c>
      <c r="C37" s="30" t="str">
        <f>IFERROR(INDEX(book_db[],MATCH(Dashboard!$B37,book_db[Book Title],0),MATCH(Dashboard!$C$26,book_db[#Headers],0)), "")</f>
        <v>Nelson Mandela</v>
      </c>
      <c r="D37" s="30" t="str">
        <f>IFERROR(INDEX(book_db[],MATCH(Dashboard!$B37,book_db[Book Title],0),MATCH(Dashboard!$D$26,book_db[#Headers],0)), "")</f>
        <v>Biographies &amp; Memoirs</v>
      </c>
      <c r="E37" s="31" t="s">
        <v>84</v>
      </c>
      <c r="F37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37" s="48">
        <v>464</v>
      </c>
      <c r="H37" s="50">
        <v>44998</v>
      </c>
      <c r="I37" s="32" t="str">
        <f>IFERROR(INDEX(Month_tb[],MATCH(MONTH(book_reading_tb[[#This Row],[COMPLETION DATE]]),Month_tb[Month number],0),1), "NA")</f>
        <v>Mar</v>
      </c>
      <c r="J37" s="33">
        <f>IFERROR(INDEX(book_db[],MATCH(Dashboard!$B37,book_db[Book Title],0),MATCH(Dashboard!$J$26,book_db[#Headers],0)),"")</f>
        <v>571</v>
      </c>
      <c r="K37" s="34">
        <f>INDEX(book_db[],MATCH(book_reading_tb[[#This Row],[TITLE]],book_db[Book Title],0),1)</f>
        <v>9</v>
      </c>
    </row>
    <row r="38" spans="2:11" ht="17" thickBot="1" x14ac:dyDescent="0.35">
      <c r="B38" s="35" t="s">
        <v>185</v>
      </c>
      <c r="C38" s="30" t="str">
        <f>IFERROR(INDEX(book_db[],MATCH(Dashboard!$B38,book_db[Book Title],0),MATCH(Dashboard!$C$26,book_db[#Headers],0)), "")</f>
        <v>Peter Drucker</v>
      </c>
      <c r="D38" s="30" t="str">
        <f>IFERROR(INDEX(book_db[],MATCH(Dashboard!$B38,book_db[Book Title],0),MATCH(Dashboard!$D$26,book_db[#Headers],0)), "")</f>
        <v>Business &amp; Money</v>
      </c>
      <c r="E38" s="31" t="s">
        <v>84</v>
      </c>
      <c r="F38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38" s="48">
        <v>100</v>
      </c>
      <c r="H38" s="50">
        <v>45007</v>
      </c>
      <c r="I38" s="32" t="str">
        <f>IFERROR(INDEX(Month_tb[],MATCH(MONTH(book_reading_tb[[#This Row],[COMPLETION DATE]]),Month_tb[Month number],0),1), "NA")</f>
        <v>Mar</v>
      </c>
      <c r="J38" s="33">
        <f>IFERROR(INDEX(book_db[],MATCH(Dashboard!$B38,book_db[Book Title],0),MATCH(Dashboard!$J$26,book_db[#Headers],0)),"")</f>
        <v>945</v>
      </c>
      <c r="K38" s="34">
        <f>INDEX(book_db[],MATCH(book_reading_tb[[#This Row],[TITLE]],book_db[Book Title],0),1)</f>
        <v>10</v>
      </c>
    </row>
    <row r="39" spans="2:11" ht="17" thickBot="1" x14ac:dyDescent="0.35">
      <c r="B39" s="35" t="s">
        <v>186</v>
      </c>
      <c r="C39" s="30" t="str">
        <f>IFERROR(INDEX(book_db[],MATCH(Dashboard!$B39,book_db[Book Title],0),MATCH(Dashboard!$C$26,book_db[#Headers],0)), "")</f>
        <v>Dale Carnegie</v>
      </c>
      <c r="D39" s="30" t="str">
        <f>IFERROR(INDEX(book_db[],MATCH(Dashboard!$B39,book_db[Book Title],0),MATCH(Dashboard!$D$26,book_db[#Headers],0)), "")</f>
        <v>Business &amp; Money</v>
      </c>
      <c r="E39" s="31" t="s">
        <v>84</v>
      </c>
      <c r="F39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39" s="48">
        <v>272</v>
      </c>
      <c r="H39" s="50">
        <v>45015</v>
      </c>
      <c r="I39" s="32" t="str">
        <f>IFERROR(INDEX(Month_tb[],MATCH(MONTH(book_reading_tb[[#This Row],[COMPLETION DATE]]),Month_tb[Month number],0),1), "NA")</f>
        <v>Mar</v>
      </c>
      <c r="J39" s="33">
        <f>IFERROR(INDEX(book_db[],MATCH(Dashboard!$B39,book_db[Book Title],0),MATCH(Dashboard!$J$26,book_db[#Headers],0)),"")</f>
        <v>179</v>
      </c>
      <c r="K39" s="34">
        <f>INDEX(book_db[],MATCH(book_reading_tb[[#This Row],[TITLE]],book_db[Book Title],0),1)</f>
        <v>11</v>
      </c>
    </row>
    <row r="40" spans="2:11" ht="17" thickBot="1" x14ac:dyDescent="0.35">
      <c r="B40" s="35" t="s">
        <v>187</v>
      </c>
      <c r="C40" s="30" t="str">
        <f>IFERROR(INDEX(book_db[],MATCH(Dashboard!$B40,book_db[Book Title],0),MATCH(Dashboard!$C$26,book_db[#Headers],0)), "")</f>
        <v>Simon Sinek</v>
      </c>
      <c r="D40" s="30" t="str">
        <f>IFERROR(INDEX(book_db[],MATCH(Dashboard!$B40,book_db[Book Title],0),MATCH(Dashboard!$D$26,book_db[#Headers],0)), "")</f>
        <v>Business &amp; Money</v>
      </c>
      <c r="E40" s="31" t="s">
        <v>85</v>
      </c>
      <c r="F40" s="46" t="str">
        <f>REPT("|",100*book_reading_tb[[#This Row],[Page No.]]/INDEX(book_db[],MATCH(book_reading_tb[[#This Row],[TITLE]],book_db[Book Title],0),8))</f>
        <v>|||||||||||||||||||||||||||||||||||||||||</v>
      </c>
      <c r="G40" s="48">
        <v>60</v>
      </c>
      <c r="H40" s="50" t="s">
        <v>246</v>
      </c>
      <c r="I40" s="32" t="str">
        <f>IFERROR(INDEX(Month_tb[],MATCH(MONTH(book_reading_tb[[#This Row],[COMPLETION DATE]]),Month_tb[Month number],0),1), "NA")</f>
        <v>NA</v>
      </c>
      <c r="J40" s="33">
        <f>IFERROR(INDEX(book_db[],MATCH(Dashboard!$B40,book_db[Book Title],0),MATCH(Dashboard!$J$26,book_db[#Headers],0)),"")</f>
        <v>336</v>
      </c>
      <c r="K40" s="34">
        <f>INDEX(book_db[],MATCH(book_reading_tb[[#This Row],[TITLE]],book_db[Book Title],0),1)</f>
        <v>12</v>
      </c>
    </row>
    <row r="41" spans="2:11" ht="17" thickBot="1" x14ac:dyDescent="0.35">
      <c r="B41" s="35" t="s">
        <v>189</v>
      </c>
      <c r="C41" s="30" t="str">
        <f>IFERROR(INDEX(book_db[],MATCH(Dashboard!$B41,book_db[Book Title],0),MATCH(Dashboard!$C$26,book_db[#Headers],0)), "")</f>
        <v>Ray Dalio</v>
      </c>
      <c r="D41" s="30" t="str">
        <f>IFERROR(INDEX(book_db[],MATCH(Dashboard!$B41,book_db[Book Title],0),MATCH(Dashboard!$D$26,book_db[#Headers],0)), "")</f>
        <v>Business &amp; Money</v>
      </c>
      <c r="E41" s="31" t="s">
        <v>84</v>
      </c>
      <c r="F41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41" s="48">
        <v>593</v>
      </c>
      <c r="H41" s="50">
        <v>45031</v>
      </c>
      <c r="I41" s="32" t="str">
        <f>IFERROR(INDEX(Month_tb[],MATCH(MONTH(book_reading_tb[[#This Row],[COMPLETION DATE]]),Month_tb[Month number],0),1), "NA")</f>
        <v>Apr</v>
      </c>
      <c r="J41" s="33">
        <f>IFERROR(INDEX(book_db[],MATCH(Dashboard!$B41,book_db[Book Title],0),MATCH(Dashboard!$J$26,book_db[#Headers],0)),"")</f>
        <v>995</v>
      </c>
      <c r="K41" s="34">
        <f>INDEX(book_db[],MATCH(book_reading_tb[[#This Row],[TITLE]],book_db[Book Title],0),1)</f>
        <v>14</v>
      </c>
    </row>
    <row r="42" spans="2:11" ht="17" thickBot="1" x14ac:dyDescent="0.35">
      <c r="B42" s="35" t="s">
        <v>190</v>
      </c>
      <c r="C42" s="30" t="str">
        <f>IFERROR(INDEX(book_db[],MATCH(Dashboard!$B42,book_db[Book Title],0),MATCH(Dashboard!$C$26,book_db[#Headers],0)), "")</f>
        <v>J.K. Rowling</v>
      </c>
      <c r="D42" s="30" t="str">
        <f>IFERROR(INDEX(book_db[],MATCH(Dashboard!$B42,book_db[Book Title],0),MATCH(Dashboard!$D$26,book_db[#Headers],0)), "")</f>
        <v>Children's Books</v>
      </c>
      <c r="E42" s="31" t="s">
        <v>84</v>
      </c>
      <c r="F42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42" s="48">
        <v>320</v>
      </c>
      <c r="H42" s="50">
        <v>45039</v>
      </c>
      <c r="I42" s="32" t="str">
        <f>IFERROR(INDEX(Month_tb[],MATCH(MONTH(book_reading_tb[[#This Row],[COMPLETION DATE]]),Month_tb[Month number],0),1), "NA")</f>
        <v>Apr</v>
      </c>
      <c r="J42" s="33">
        <f>IFERROR(INDEX(book_db[],MATCH(Dashboard!$B42,book_db[Book Title],0),MATCH(Dashboard!$J$26,book_db[#Headers],0)),"")</f>
        <v>1049</v>
      </c>
      <c r="K42" s="34">
        <f>INDEX(book_db[],MATCH(book_reading_tb[[#This Row],[TITLE]],book_db[Book Title],0),1)</f>
        <v>15</v>
      </c>
    </row>
    <row r="43" spans="2:11" ht="17" thickBot="1" x14ac:dyDescent="0.35">
      <c r="B43" s="35" t="s">
        <v>90</v>
      </c>
      <c r="C43" s="30" t="str">
        <f>IFERROR(INDEX(book_db[],MATCH(Dashboard!$B43,book_db[Book Title],0),MATCH(Dashboard!$C$26,book_db[#Headers],0)), "")</f>
        <v>C.S. Lewis</v>
      </c>
      <c r="D43" s="30" t="str">
        <f>IFERROR(INDEX(book_db[],MATCH(Dashboard!$B43,book_db[Book Title],0),MATCH(Dashboard!$D$26,book_db[#Headers],0)), "")</f>
        <v>Children's Books</v>
      </c>
      <c r="E43" s="31" t="s">
        <v>84</v>
      </c>
      <c r="F43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43" s="48">
        <v>208</v>
      </c>
      <c r="H43" s="50">
        <v>45046</v>
      </c>
      <c r="I43" s="32" t="str">
        <f>IFERROR(INDEX(Month_tb[],MATCH(MONTH(book_reading_tb[[#This Row],[COMPLETION DATE]]),Month_tb[Month number],0),1), "NA")</f>
        <v>Apr</v>
      </c>
      <c r="J43" s="33">
        <f>IFERROR(INDEX(book_db[],MATCH(Dashboard!$B43,book_db[Book Title],0),MATCH(Dashboard!$J$26,book_db[#Headers],0)),"")</f>
        <v>850</v>
      </c>
      <c r="K43" s="34">
        <f>INDEX(book_db[],MATCH(book_reading_tb[[#This Row],[TITLE]],book_db[Book Title],0),1)</f>
        <v>16</v>
      </c>
    </row>
    <row r="44" spans="2:11" ht="17" thickBot="1" x14ac:dyDescent="0.35">
      <c r="B44" s="35" t="s">
        <v>191</v>
      </c>
      <c r="C44" s="30" t="str">
        <f>IFERROR(INDEX(book_db[],MATCH(Dashboard!$B44,book_db[Book Title],0),MATCH(Dashboard!$C$26,book_db[#Headers],0)), "")</f>
        <v>Roald Dahl</v>
      </c>
      <c r="D44" s="30" t="str">
        <f>IFERROR(INDEX(book_db[],MATCH(Dashboard!$B44,book_db[Book Title],0),MATCH(Dashboard!$D$26,book_db[#Headers],0)), "")</f>
        <v>Children's Books</v>
      </c>
      <c r="E44" s="31" t="s">
        <v>84</v>
      </c>
      <c r="F44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44" s="48">
        <v>192</v>
      </c>
      <c r="H44" s="50">
        <v>45053</v>
      </c>
      <c r="I44" s="32" t="str">
        <f>IFERROR(INDEX(Month_tb[],MATCH(MONTH(book_reading_tb[[#This Row],[COMPLETION DATE]]),Month_tb[Month number],0),1), "NA")</f>
        <v>May</v>
      </c>
      <c r="J44" s="33">
        <f>IFERROR(INDEX(book_db[],MATCH(Dashboard!$B44,book_db[Book Title],0),MATCH(Dashboard!$J$26,book_db[#Headers],0)),"")</f>
        <v>270</v>
      </c>
      <c r="K44" s="34">
        <f>INDEX(book_db[],MATCH(book_reading_tb[[#This Row],[TITLE]],book_db[Book Title],0),1)</f>
        <v>18</v>
      </c>
    </row>
    <row r="45" spans="2:11" ht="17" thickBot="1" x14ac:dyDescent="0.35">
      <c r="B45" s="35" t="s">
        <v>3</v>
      </c>
      <c r="C45" s="30" t="str">
        <f>IFERROR(INDEX(book_db[],MATCH(Dashboard!$B45,book_db[Book Title],0),MATCH(Dashboard!$C$26,book_db[#Headers],0)), "")</f>
        <v>Shel Silverstein</v>
      </c>
      <c r="D45" s="30" t="str">
        <f>IFERROR(INDEX(book_db[],MATCH(Dashboard!$B45,book_db[Book Title],0),MATCH(Dashboard!$D$26,book_db[#Headers],0)), "")</f>
        <v>Children's Books</v>
      </c>
      <c r="E45" s="31" t="s">
        <v>85</v>
      </c>
      <c r="F45" s="46" t="str">
        <f>REPT("|",100*book_reading_tb[[#This Row],[Page No.]]/INDEX(book_db[],MATCH(book_reading_tb[[#This Row],[TITLE]],book_db[Book Title],0),8))</f>
        <v>|||||||||||||||||||||||||||||||||||||||||||||||</v>
      </c>
      <c r="G45" s="48">
        <v>106</v>
      </c>
      <c r="H45" s="50" t="s">
        <v>246</v>
      </c>
      <c r="I45" s="32" t="str">
        <f>IFERROR(INDEX(Month_tb[],MATCH(MONTH(book_reading_tb[[#This Row],[COMPLETION DATE]]),Month_tb[Month number],0),1), "NA")</f>
        <v>NA</v>
      </c>
      <c r="J45" s="33">
        <f>IFERROR(INDEX(book_db[],MATCH(Dashboard!$B45,book_db[Book Title],0),MATCH(Dashboard!$J$26,book_db[#Headers],0)),"")</f>
        <v>469</v>
      </c>
      <c r="K45" s="34">
        <f>INDEX(book_db[],MATCH(book_reading_tb[[#This Row],[TITLE]],book_db[Book Title],0),1)</f>
        <v>19</v>
      </c>
    </row>
    <row r="46" spans="2:11" ht="17" thickBot="1" x14ac:dyDescent="0.35">
      <c r="B46" s="35" t="s">
        <v>1</v>
      </c>
      <c r="C46" s="30" t="str">
        <f>IFERROR(INDEX(book_db[],MATCH(Dashboard!$B46,book_db[Book Title],0),MATCH(Dashboard!$C$26,book_db[#Headers],0)), "")</f>
        <v>Maurice Sendak</v>
      </c>
      <c r="D46" s="30" t="str">
        <f>IFERROR(INDEX(book_db[],MATCH(Dashboard!$B46,book_db[Book Title],0),MATCH(Dashboard!$D$26,book_db[#Headers],0)), "")</f>
        <v>Children's Books</v>
      </c>
      <c r="E46" s="31" t="s">
        <v>87</v>
      </c>
      <c r="F46" s="46" t="str">
        <f>REPT("|",100*book_reading_tb[[#This Row],[Page No.]]/INDEX(book_db[],MATCH(book_reading_tb[[#This Row],[TITLE]],book_db[Book Title],0),8))</f>
        <v/>
      </c>
      <c r="G46" s="48"/>
      <c r="H46" s="50" t="s">
        <v>246</v>
      </c>
      <c r="I46" s="32" t="str">
        <f>IFERROR(INDEX(Month_tb[],MATCH(MONTH(book_reading_tb[[#This Row],[COMPLETION DATE]]),Month_tb[Month number],0),1), "NA")</f>
        <v>NA</v>
      </c>
      <c r="J46" s="33">
        <f>IFERROR(INDEX(book_db[],MATCH(Dashboard!$B46,book_db[Book Title],0),MATCH(Dashboard!$J$26,book_db[#Headers],0)),"")</f>
        <v>1226</v>
      </c>
      <c r="K46" s="34">
        <f>INDEX(book_db[],MATCH(book_reading_tb[[#This Row],[TITLE]],book_db[Book Title],0),1)</f>
        <v>20</v>
      </c>
    </row>
    <row r="47" spans="2:11" ht="17" thickBot="1" x14ac:dyDescent="0.35">
      <c r="B47" s="35" t="s">
        <v>46</v>
      </c>
      <c r="C47" s="30" t="str">
        <f>IFERROR(INDEX(book_db[],MATCH(Dashboard!$B47,book_db[Book Title],0),MATCH(Dashboard!$C$26,book_db[#Headers],0)), "")</f>
        <v>Margaret Wise Brown</v>
      </c>
      <c r="D47" s="30" t="str">
        <f>IFERROR(INDEX(book_db[],MATCH(Dashboard!$B47,book_db[Book Title],0),MATCH(Dashboard!$D$26,book_db[#Headers],0)), "")</f>
        <v>Children's Books</v>
      </c>
      <c r="E47" s="31" t="s">
        <v>87</v>
      </c>
      <c r="F47" s="46" t="str">
        <f>REPT("|",100*book_reading_tb[[#This Row],[Page No.]]/INDEX(book_db[],MATCH(book_reading_tb[[#This Row],[TITLE]],book_db[Book Title],0),8))</f>
        <v/>
      </c>
      <c r="G47" s="48"/>
      <c r="H47" s="50" t="s">
        <v>246</v>
      </c>
      <c r="I47" s="32" t="str">
        <f>IFERROR(INDEX(Month_tb[],MATCH(MONTH(book_reading_tb[[#This Row],[COMPLETION DATE]]),Month_tb[Month number],0),1), "NA")</f>
        <v>NA</v>
      </c>
      <c r="J47" s="33">
        <f>IFERROR(INDEX(book_db[],MATCH(Dashboard!$B47,book_db[Book Title],0),MATCH(Dashboard!$J$26,book_db[#Headers],0)),"")</f>
        <v>697</v>
      </c>
      <c r="K47" s="34">
        <f>INDEX(book_db[],MATCH(book_reading_tb[[#This Row],[TITLE]],book_db[Book Title],0),1)</f>
        <v>21</v>
      </c>
    </row>
    <row r="48" spans="2:11" ht="17" thickBot="1" x14ac:dyDescent="0.35">
      <c r="B48" s="35" t="s">
        <v>31</v>
      </c>
      <c r="C48" s="30" t="str">
        <f>IFERROR(INDEX(book_db[],MATCH(Dashboard!$B48,book_db[Book Title],0),MATCH(Dashboard!$C$26,book_db[#Headers],0)), "")</f>
        <v>Eric Carle</v>
      </c>
      <c r="D48" s="30" t="str">
        <f>IFERROR(INDEX(book_db[],MATCH(Dashboard!$B48,book_db[Book Title],0),MATCH(Dashboard!$D$26,book_db[#Headers],0)), "")</f>
        <v>Children's Books</v>
      </c>
      <c r="E48" s="31" t="s">
        <v>87</v>
      </c>
      <c r="F48" s="46" t="str">
        <f>REPT("|",100*book_reading_tb[[#This Row],[Page No.]]/INDEX(book_db[],MATCH(book_reading_tb[[#This Row],[TITLE]],book_db[Book Title],0),8))</f>
        <v/>
      </c>
      <c r="G48" s="48"/>
      <c r="H48" s="50" t="s">
        <v>246</v>
      </c>
      <c r="I48" s="32" t="str">
        <f>IFERROR(INDEX(Month_tb[],MATCH(MONTH(book_reading_tb[[#This Row],[COMPLETION DATE]]),Month_tb[Month number],0),1), "NA")</f>
        <v>NA</v>
      </c>
      <c r="J48" s="33">
        <f>IFERROR(INDEX(book_db[],MATCH(Dashboard!$B48,book_db[Book Title],0),MATCH(Dashboard!$J$26,book_db[#Headers],0)),"")</f>
        <v>328</v>
      </c>
      <c r="K48" s="34">
        <f>INDEX(book_db[],MATCH(book_reading_tb[[#This Row],[TITLE]],book_db[Book Title],0),1)</f>
        <v>22</v>
      </c>
    </row>
    <row r="49" spans="2:11" ht="17" thickBot="1" x14ac:dyDescent="0.35">
      <c r="B49" s="35" t="s">
        <v>17</v>
      </c>
      <c r="C49" s="30" t="str">
        <f>IFERROR(INDEX(book_db[],MATCH(Dashboard!$B49,book_db[Book Title],0),MATCH(Dashboard!$C$26,book_db[#Headers],0)), "")</f>
        <v>John Green</v>
      </c>
      <c r="D49" s="30" t="str">
        <f>IFERROR(INDEX(book_db[],MATCH(Dashboard!$B49,book_db[Book Title],0),MATCH(Dashboard!$D$26,book_db[#Headers],0)), "")</f>
        <v>Teen &amp; Young Adult</v>
      </c>
      <c r="E49" s="31" t="s">
        <v>84</v>
      </c>
      <c r="F49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49" s="48">
        <v>208</v>
      </c>
      <c r="H49" s="50">
        <v>45087</v>
      </c>
      <c r="I49" s="32" t="str">
        <f>IFERROR(INDEX(Month_tb[],MATCH(MONTH(book_reading_tb[[#This Row],[COMPLETION DATE]]),Month_tb[Month number],0),1), "NA")</f>
        <v>Jun</v>
      </c>
      <c r="J49" s="33">
        <f>IFERROR(INDEX(book_db[],MATCH(Dashboard!$B49,book_db[Book Title],0),MATCH(Dashboard!$J$26,book_db[#Headers],0)),"")</f>
        <v>238</v>
      </c>
      <c r="K49" s="34">
        <f>INDEX(book_db[],MATCH(book_reading_tb[[#This Row],[TITLE]],book_db[Book Title],0),1)</f>
        <v>111</v>
      </c>
    </row>
    <row r="50" spans="2:11" ht="17" thickBot="1" x14ac:dyDescent="0.35">
      <c r="B50" s="35" t="s">
        <v>43</v>
      </c>
      <c r="C50" s="30" t="str">
        <f>IFERROR(INDEX(book_db[],MATCH(Dashboard!$B50,book_db[Book Title],0),MATCH(Dashboard!$C$26,book_db[#Headers],0)), "")</f>
        <v>Stephen Hawking</v>
      </c>
      <c r="D50" s="30" t="str">
        <f>IFERROR(INDEX(book_db[],MATCH(Dashboard!$B50,book_db[Book Title],0),MATCH(Dashboard!$D$26,book_db[#Headers],0)), "")</f>
        <v>Science &amp; Math</v>
      </c>
      <c r="E50" s="31" t="s">
        <v>84</v>
      </c>
      <c r="F50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50" s="48">
        <v>144</v>
      </c>
      <c r="H50" s="50">
        <v>45127</v>
      </c>
      <c r="I50" s="32" t="str">
        <f>IFERROR(INDEX(Month_tb[],MATCH(MONTH(book_reading_tb[[#This Row],[COMPLETION DATE]]),Month_tb[Month number],0),1), "NA")</f>
        <v>Jul</v>
      </c>
      <c r="J50" s="33">
        <f>IFERROR(INDEX(book_db[],MATCH(Dashboard!$B50,book_db[Book Title],0),MATCH(Dashboard!$J$26,book_db[#Headers],0)),"")</f>
        <v>1172</v>
      </c>
      <c r="K50" s="34">
        <f>INDEX(book_db[],MATCH(book_reading_tb[[#This Row],[TITLE]],book_db[Book Title],0),1)</f>
        <v>100</v>
      </c>
    </row>
    <row r="51" spans="2:11" ht="17" thickBot="1" x14ac:dyDescent="0.35">
      <c r="B51" s="35" t="s">
        <v>215</v>
      </c>
      <c r="C51" s="30" t="str">
        <f>IFERROR(INDEX(book_db[],MATCH(Dashboard!$B51,book_db[Book Title],0),MATCH(Dashboard!$C$26,book_db[#Headers],0)), "")</f>
        <v>Agatha Christie</v>
      </c>
      <c r="D51" s="30" t="str">
        <f>IFERROR(INDEX(book_db[],MATCH(Dashboard!$B51,book_db[Book Title],0),MATCH(Dashboard!$D$26,book_db[#Headers],0)), "")</f>
        <v>Mystery</v>
      </c>
      <c r="E51" s="31" t="s">
        <v>87</v>
      </c>
      <c r="F51" s="46" t="str">
        <f>REPT("|",100*book_reading_tb[[#This Row],[Page No.]]/INDEX(book_db[],MATCH(book_reading_tb[[#This Row],[TITLE]],book_db[Book Title],0),8))</f>
        <v/>
      </c>
      <c r="G51" s="48"/>
      <c r="H51" s="50">
        <v>45150</v>
      </c>
      <c r="I51" s="32" t="str">
        <f>IFERROR(INDEX(Month_tb[],MATCH(MONTH(book_reading_tb[[#This Row],[COMPLETION DATE]]),Month_tb[Month number],0),1), "NA")</f>
        <v>Aug</v>
      </c>
      <c r="J51" s="33">
        <f>IFERROR(INDEX(book_db[],MATCH(Dashboard!$B51,book_db[Book Title],0),MATCH(Dashboard!$J$26,book_db[#Headers],0)),"")</f>
        <v>259</v>
      </c>
      <c r="K51" s="34">
        <f>INDEX(book_db[],MATCH(book_reading_tb[[#This Row],[TITLE]],book_db[Book Title],0),1)</f>
        <v>65</v>
      </c>
    </row>
    <row r="52" spans="2:11" ht="17" thickBot="1" x14ac:dyDescent="0.35">
      <c r="B52" s="35" t="s">
        <v>233</v>
      </c>
      <c r="C52" s="30" t="str">
        <f>IFERROR(INDEX(book_db[],MATCH(Dashboard!$B52,book_db[Book Title],0),MATCH(Dashboard!$C$26,book_db[#Headers],0)), "")</f>
        <v>Yuval Noah Harari</v>
      </c>
      <c r="D52" s="30" t="str">
        <f>IFERROR(INDEX(book_db[],MATCH(Dashboard!$B52,book_db[Book Title],0),MATCH(Dashboard!$D$26,book_db[#Headers],0)), "")</f>
        <v>Politics &amp; Social Sciences</v>
      </c>
      <c r="E52" s="31" t="s">
        <v>84</v>
      </c>
      <c r="F52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52" s="48">
        <v>320</v>
      </c>
      <c r="H52" s="50">
        <v>45134</v>
      </c>
      <c r="I52" s="32" t="str">
        <f>IFERROR(INDEX(Month_tb[],MATCH(MONTH(book_reading_tb[[#This Row],[COMPLETION DATE]]),Month_tb[Month number],0),1), "NA")</f>
        <v>Jul</v>
      </c>
      <c r="J52" s="33">
        <f>IFERROR(INDEX(book_db[],MATCH(Dashboard!$B52,book_db[Book Title],0),MATCH(Dashboard!$J$26,book_db[#Headers],0)),"")</f>
        <v>374</v>
      </c>
      <c r="K52" s="34">
        <f>INDEX(book_db[],MATCH(book_reading_tb[[#This Row],[TITLE]],book_db[Book Title],0),1)</f>
        <v>88</v>
      </c>
    </row>
    <row r="53" spans="2:11" ht="17" thickBot="1" x14ac:dyDescent="0.35">
      <c r="B53" s="35" t="s">
        <v>230</v>
      </c>
      <c r="C53" s="30" t="str">
        <f>IFERROR(INDEX(book_db[],MATCH(Dashboard!$B53,book_db[Book Title],0),MATCH(Dashboard!$C$26,book_db[#Headers],0)), "")</f>
        <v>Paula Hawkins</v>
      </c>
      <c r="D53" s="30" t="str">
        <f>IFERROR(INDEX(book_db[],MATCH(Dashboard!$B53,book_db[Book Title],0),MATCH(Dashboard!$D$26,book_db[#Headers],0)), "")</f>
        <v>Mystery</v>
      </c>
      <c r="E53" s="31" t="s">
        <v>84</v>
      </c>
      <c r="F53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53" s="48">
        <v>254</v>
      </c>
      <c r="H53" s="50">
        <v>45173</v>
      </c>
      <c r="I53" s="32" t="str">
        <f>IFERROR(INDEX(Month_tb[],MATCH(MONTH(book_reading_tb[[#This Row],[COMPLETION DATE]]),Month_tb[Month number],0),1), "NA")</f>
        <v>Sep</v>
      </c>
      <c r="J53" s="33">
        <f>IFERROR(INDEX(book_db[],MATCH(Dashboard!$B53,book_db[Book Title],0),MATCH(Dashboard!$J$26,book_db[#Headers],0)),"")</f>
        <v>364</v>
      </c>
      <c r="K53" s="34">
        <f>INDEX(book_db[],MATCH(book_reading_tb[[#This Row],[TITLE]],book_db[Book Title],0),1)</f>
        <v>83</v>
      </c>
    </row>
    <row r="54" spans="2:11" ht="17" thickBot="1" x14ac:dyDescent="0.35">
      <c r="B54" s="35" t="s">
        <v>147</v>
      </c>
      <c r="C54" s="30" t="str">
        <f>IFERROR(INDEX(book_db[],MATCH(Dashboard!$B54,book_db[Book Title],0),MATCH(Dashboard!$C$26,book_db[#Headers],0)), "")</f>
        <v>Nicholas Sparks</v>
      </c>
      <c r="D54" s="30" t="str">
        <f>IFERROR(INDEX(book_db[],MATCH(Dashboard!$B54,book_db[Book Title],0),MATCH(Dashboard!$D$26,book_db[#Headers],0)), "")</f>
        <v>Romance</v>
      </c>
      <c r="E54" s="31" t="s">
        <v>85</v>
      </c>
      <c r="F54" s="46" t="str">
        <f>REPT("|",100*book_reading_tb[[#This Row],[Page No.]]/INDEX(book_db[],MATCH(book_reading_tb[[#This Row],[TITLE]],book_db[Book Title],0),8))</f>
        <v>||||||||||||||||||||||||||||||||||||||||||||||||||||||||||||||||||||||||||||||</v>
      </c>
      <c r="G54" s="48">
        <v>314</v>
      </c>
      <c r="H54" s="50">
        <v>45225</v>
      </c>
      <c r="I54" s="32" t="str">
        <f>IFERROR(INDEX(Month_tb[],MATCH(MONTH(book_reading_tb[[#This Row],[COMPLETION DATE]]),Month_tb[Month number],0),1), "NA")</f>
        <v>Oct</v>
      </c>
      <c r="J54" s="33">
        <f>IFERROR(INDEX(book_db[],MATCH(Dashboard!$B54,book_db[Book Title],0),MATCH(Dashboard!$J$26,book_db[#Headers],0)),"")</f>
        <v>283</v>
      </c>
      <c r="K54" s="34">
        <f>INDEX(book_db[],MATCH(book_reading_tb[[#This Row],[TITLE]],book_db[Book Title],0),1)</f>
        <v>96</v>
      </c>
    </row>
    <row r="55" spans="2:11" ht="17" thickBot="1" x14ac:dyDescent="0.35">
      <c r="B55" s="35" t="s">
        <v>238</v>
      </c>
      <c r="C55" s="30" t="str">
        <f>IFERROR(INDEX(book_db[],MATCH(Dashboard!$B55,book_db[Book Title],0),MATCH(Dashboard!$C$26,book_db[#Headers],0)), "")</f>
        <v>Bill Bryson</v>
      </c>
      <c r="D55" s="30" t="str">
        <f>IFERROR(INDEX(book_db[],MATCH(Dashboard!$B55,book_db[Book Title],0),MATCH(Dashboard!$D$26,book_db[#Headers],0)), "")</f>
        <v>Travel</v>
      </c>
      <c r="E55" s="31" t="s">
        <v>84</v>
      </c>
      <c r="F55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55" s="48">
        <v>224</v>
      </c>
      <c r="H55" s="50">
        <v>45245</v>
      </c>
      <c r="I55" s="32" t="str">
        <f>IFERROR(INDEX(Month_tb[],MATCH(MONTH(book_reading_tb[[#This Row],[COMPLETION DATE]]),Month_tb[Month number],0),1), "NA")</f>
        <v>Nov</v>
      </c>
      <c r="J55" s="33">
        <f>IFERROR(INDEX(book_db[],MATCH(Dashboard!$B55,book_db[Book Title],0),MATCH(Dashboard!$J$26,book_db[#Headers],0)),"")</f>
        <v>103</v>
      </c>
      <c r="K55" s="34">
        <f>INDEX(book_db[],MATCH(book_reading_tb[[#This Row],[TITLE]],book_db[Book Title],0),1)</f>
        <v>115</v>
      </c>
    </row>
    <row r="56" spans="2:11" ht="17" thickBot="1" x14ac:dyDescent="0.35">
      <c r="B56" s="35" t="s">
        <v>212</v>
      </c>
      <c r="C56" s="30" t="str">
        <f>IFERROR(INDEX(book_db[],MATCH(Dashboard!$B56,book_db[Book Title],0),MATCH(Dashboard!$C$26,book_db[#Headers],0)), "")</f>
        <v>Douglas Adams</v>
      </c>
      <c r="D56" s="30" t="str">
        <f>IFERROR(INDEX(book_db[],MATCH(Dashboard!$B56,book_db[Book Title],0),MATCH(Dashboard!$D$26,book_db[#Headers],0)), "")</f>
        <v>Humor &amp; Entertainment</v>
      </c>
      <c r="E56" s="31" t="s">
        <v>85</v>
      </c>
      <c r="F56" s="46" t="str">
        <f>REPT("|",100*book_reading_tb[[#This Row],[Page No.]]/INDEX(book_db[],MATCH(book_reading_tb[[#This Row],[TITLE]],book_db[Book Title],0),8))</f>
        <v>|||||||||||||||||||||||||||||||||||||||||||||||||||||||||||||||||||||||||||||||||||||||||||</v>
      </c>
      <c r="G56" s="48">
        <v>405</v>
      </c>
      <c r="H56" s="50">
        <v>45261</v>
      </c>
      <c r="I56" s="32" t="str">
        <f>IFERROR(INDEX(Month_tb[],MATCH(MONTH(book_reading_tb[[#This Row],[COMPLETION DATE]]),Month_tb[Month number],0),1), "NA")</f>
        <v>Dec</v>
      </c>
      <c r="J56" s="33">
        <f>IFERROR(INDEX(book_db[],MATCH(Dashboard!$B56,book_db[Book Title],0),MATCH(Dashboard!$J$26,book_db[#Headers],0)),"")</f>
        <v>1374</v>
      </c>
      <c r="K56" s="34">
        <f>INDEX(book_db[],MATCH(book_reading_tb[[#This Row],[TITLE]],book_db[Book Title],0),1)</f>
        <v>60</v>
      </c>
    </row>
    <row r="57" spans="2:11" ht="17" thickBot="1" x14ac:dyDescent="0.35">
      <c r="B57" s="35" t="s">
        <v>182</v>
      </c>
      <c r="C57" s="30" t="str">
        <f>IFERROR(INDEX(book_db[],MATCH(Dashboard!$B57,book_db[Book Title],0),MATCH(Dashboard!$C$26,book_db[#Headers],0)), "")</f>
        <v>Julia Cameron</v>
      </c>
      <c r="D57" s="30" t="str">
        <f>IFERROR(INDEX(book_db[],MATCH(Dashboard!$B57,book_db[Book Title],0),MATCH(Dashboard!$D$26,book_db[#Headers],0)), "")</f>
        <v>Arts &amp; Photography</v>
      </c>
      <c r="E57" s="31" t="s">
        <v>84</v>
      </c>
      <c r="F57" s="46" t="str">
        <f>REPT("|",100*book_reading_tb[[#This Row],[Page No.]]/INDEX(book_db[],MATCH(book_reading_tb[[#This Row],[TITLE]],book_db[Book Title],0),8))</f>
        <v>||||||||||||||||||||||||||||||||||||||||||||||||||||||||||||||||||||||||||||||||||||||||||||||||||||</v>
      </c>
      <c r="G57" s="48">
        <v>237</v>
      </c>
      <c r="H57" s="50">
        <v>45275</v>
      </c>
      <c r="I57" s="32" t="str">
        <f>IFERROR(INDEX(Month_tb[],MATCH(MONTH(book_reading_tb[[#This Row],[COMPLETION DATE]]),Month_tb[Month number],0),1), "NA")</f>
        <v>Dec</v>
      </c>
      <c r="J57" s="33">
        <f>IFERROR(INDEX(book_db[],MATCH(Dashboard!$B57,book_db[Book Title],0),MATCH(Dashboard!$J$26,book_db[#Headers],0)),"")</f>
        <v>407</v>
      </c>
      <c r="K57" s="34">
        <f>INDEX(book_db[],MATCH(book_reading_tb[[#This Row],[TITLE]],book_db[Book Title],0),1)</f>
        <v>2</v>
      </c>
    </row>
  </sheetData>
  <mergeCells count="1">
    <mergeCell ref="G11:I11"/>
  </mergeCells>
  <conditionalFormatting sqref="E27:E57">
    <cfRule type="containsText" dxfId="12" priority="3" operator="containsText" text="Completed">
      <formula>NOT(ISERROR(SEARCH("Completed",E27)))</formula>
    </cfRule>
    <cfRule type="containsText" dxfId="11" priority="1" operator="containsText" text="In Progress">
      <formula>NOT(ISERROR(SEARCH("In Progress",E27)))</formula>
    </cfRule>
  </conditionalFormatting>
  <dataValidations count="1">
    <dataValidation type="custom" allowBlank="1" showInputMessage="1" showErrorMessage="1" sqref="B27:B57" xr:uid="{DEE707BB-A194-423D-B4EC-5C218C99ADD3}">
      <formula1>COUNTIF(B$27:B$57, B27) &lt; 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andom_number">
                <anchor moveWithCells="1" sizeWithCells="1">
                  <from>
                    <xdr:col>5</xdr:col>
                    <xdr:colOff>1414732</xdr:colOff>
                    <xdr:row>10</xdr:row>
                    <xdr:rowOff>8626</xdr:rowOff>
                  </from>
                  <to>
                    <xdr:col>5</xdr:col>
                    <xdr:colOff>3079630</xdr:colOff>
                    <xdr:row>12</xdr:row>
                    <xdr:rowOff>8626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6EB5D3F-1C08-48F0-AC88-0B945BED99DA}">
          <x14:formula1>
            <xm:f>Pivot_tb_sheet!$D$3:$D$5</xm:f>
          </x14:formula1>
          <xm:sqref>E27:E57</xm:sqref>
        </x14:dataValidation>
        <x14:dataValidation type="list" allowBlank="1" showInputMessage="1" showErrorMessage="1" xr:uid="{0D9A88CE-F21A-4E3B-81D1-CB617A692349}">
          <x14:formula1>
            <xm:f>Pivot_tb_sheet!$F$3:$F$14</xm:f>
          </x14:formula1>
          <xm:sqref>B6:B7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8E1ACE-3ACB-4871-9AF3-A04A42EC18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 Page</vt:lpstr>
      <vt:lpstr>Book_database</vt:lpstr>
      <vt:lpstr>Pivot_tb_sheet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Soumesh</dc:creator>
  <cp:lastModifiedBy>Soumesh</cp:lastModifiedBy>
  <dcterms:created xsi:type="dcterms:W3CDTF">2015-06-05T18:17:20Z</dcterms:created>
  <dcterms:modified xsi:type="dcterms:W3CDTF">2023-05-07T12:46:42Z</dcterms:modified>
</cp:coreProperties>
</file>